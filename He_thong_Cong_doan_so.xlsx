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mcvnpt-my.sharepoint.com/personal/phuongvl_vpc_vnpt_vn/Documents/AI/congdoan1/"/>
    </mc:Choice>
  </mc:AlternateContent>
  <xr:revisionPtr revIDLastSave="0" documentId="8_{8552F1AF-AA0C-4EAD-A4AB-0DFB5A608BD2}" xr6:coauthVersionLast="47" xr6:coauthVersionMax="47" xr10:uidLastSave="{00000000-0000-0000-0000-000000000000}"/>
  <bookViews>
    <workbookView xWindow="-98" yWindow="-98" windowWidth="21795" windowHeight="13096" xr2:uid="{00000000-000D-0000-FFFF-FFFF00000000}"/>
  </bookViews>
  <sheets>
    <sheet name="TH" sheetId="1" r:id="rId1"/>
    <sheet name="HUONG_DAN" sheetId="2" r:id="rId2"/>
    <sheet name="DL_CHAM_LO" sheetId="3" r:id="rId3"/>
    <sheet name="TIEP_NHAN" sheetId="4" r:id="rId4"/>
    <sheet name="QUY_CHE" sheetId="5" r:id="rId5"/>
    <sheet name="DASHBOARD" sheetId="6" r:id="rId6"/>
    <sheet name="AI_TRO_L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6" l="1"/>
  <c r="B17" i="6"/>
  <c r="C16" i="6"/>
  <c r="B16" i="6"/>
  <c r="C15" i="6"/>
  <c r="B15" i="6"/>
  <c r="G14" i="6"/>
  <c r="F14" i="6"/>
  <c r="C14" i="6"/>
  <c r="B14" i="6"/>
  <c r="G13" i="6"/>
  <c r="F13" i="6"/>
  <c r="C13" i="6"/>
  <c r="B13" i="6"/>
  <c r="G12" i="6"/>
  <c r="F12" i="6"/>
  <c r="C12" i="6"/>
  <c r="B12" i="6"/>
  <c r="G11" i="6"/>
  <c r="F11" i="6"/>
  <c r="C11" i="6"/>
  <c r="B11" i="6"/>
  <c r="J5" i="6"/>
  <c r="G5" i="6"/>
  <c r="D5" i="6"/>
  <c r="A5" i="6"/>
  <c r="O201" i="4"/>
  <c r="A201" i="4"/>
  <c r="O200" i="4"/>
  <c r="A200" i="4"/>
  <c r="O199" i="4"/>
  <c r="A199" i="4"/>
  <c r="O198" i="4"/>
  <c r="A198" i="4"/>
  <c r="O197" i="4"/>
  <c r="A197" i="4"/>
  <c r="O196" i="4"/>
  <c r="A196" i="4"/>
  <c r="O195" i="4"/>
  <c r="A195" i="4"/>
  <c r="O194" i="4"/>
  <c r="A194" i="4"/>
  <c r="O193" i="4"/>
  <c r="A193" i="4"/>
  <c r="O192" i="4"/>
  <c r="A192" i="4"/>
  <c r="O191" i="4"/>
  <c r="A191" i="4"/>
  <c r="O190" i="4"/>
  <c r="A190" i="4"/>
  <c r="O189" i="4"/>
  <c r="A189" i="4"/>
  <c r="O188" i="4"/>
  <c r="A188" i="4"/>
  <c r="O187" i="4"/>
  <c r="A187" i="4"/>
  <c r="O186" i="4"/>
  <c r="A186" i="4"/>
  <c r="O185" i="4"/>
  <c r="A185" i="4"/>
  <c r="O184" i="4"/>
  <c r="A184" i="4"/>
  <c r="O183" i="4"/>
  <c r="A183" i="4"/>
  <c r="O182" i="4"/>
  <c r="A182" i="4"/>
  <c r="O181" i="4"/>
  <c r="A181" i="4"/>
  <c r="O180" i="4"/>
  <c r="A180" i="4"/>
  <c r="O179" i="4"/>
  <c r="A179" i="4"/>
  <c r="O178" i="4"/>
  <c r="A178" i="4"/>
  <c r="O177" i="4"/>
  <c r="A177" i="4"/>
  <c r="O176" i="4"/>
  <c r="A176" i="4"/>
  <c r="O175" i="4"/>
  <c r="A175" i="4"/>
  <c r="O174" i="4"/>
  <c r="A174" i="4"/>
  <c r="O173" i="4"/>
  <c r="A173" i="4"/>
  <c r="O172" i="4"/>
  <c r="A172" i="4"/>
  <c r="O171" i="4"/>
  <c r="A171" i="4"/>
  <c r="O170" i="4"/>
  <c r="A170" i="4"/>
  <c r="O169" i="4"/>
  <c r="A169" i="4"/>
  <c r="O168" i="4"/>
  <c r="A168" i="4"/>
  <c r="O167" i="4"/>
  <c r="A167" i="4"/>
  <c r="O166" i="4"/>
  <c r="A166" i="4"/>
  <c r="O165" i="4"/>
  <c r="A165" i="4"/>
  <c r="O164" i="4"/>
  <c r="A164" i="4"/>
  <c r="O163" i="4"/>
  <c r="A163" i="4"/>
  <c r="O162" i="4"/>
  <c r="A162" i="4"/>
  <c r="O161" i="4"/>
  <c r="A161" i="4"/>
  <c r="O160" i="4"/>
  <c r="A160" i="4"/>
  <c r="O159" i="4"/>
  <c r="A159" i="4"/>
  <c r="O158" i="4"/>
  <c r="A158" i="4"/>
  <c r="O157" i="4"/>
  <c r="A157" i="4"/>
  <c r="O156" i="4"/>
  <c r="A156" i="4"/>
  <c r="O155" i="4"/>
  <c r="A155" i="4"/>
  <c r="O154" i="4"/>
  <c r="A154" i="4"/>
  <c r="O153" i="4"/>
  <c r="A153" i="4"/>
  <c r="O152" i="4"/>
  <c r="A152" i="4"/>
  <c r="O151" i="4"/>
  <c r="A151" i="4"/>
  <c r="O150" i="4"/>
  <c r="A150" i="4"/>
  <c r="O149" i="4"/>
  <c r="A149" i="4"/>
  <c r="O148" i="4"/>
  <c r="A148" i="4"/>
  <c r="O147" i="4"/>
  <c r="A147" i="4"/>
  <c r="O146" i="4"/>
  <c r="A146" i="4"/>
  <c r="O145" i="4"/>
  <c r="A145" i="4"/>
  <c r="O144" i="4"/>
  <c r="A144" i="4"/>
  <c r="O143" i="4"/>
  <c r="A143" i="4"/>
  <c r="O142" i="4"/>
  <c r="A142" i="4"/>
  <c r="O141" i="4"/>
  <c r="A141" i="4"/>
  <c r="O140" i="4"/>
  <c r="A140" i="4"/>
  <c r="O139" i="4"/>
  <c r="A139" i="4"/>
  <c r="O138" i="4"/>
  <c r="A138" i="4"/>
  <c r="O137" i="4"/>
  <c r="A137" i="4"/>
  <c r="O136" i="4"/>
  <c r="A136" i="4"/>
  <c r="O135" i="4"/>
  <c r="A135" i="4"/>
  <c r="O134" i="4"/>
  <c r="A134" i="4"/>
  <c r="O133" i="4"/>
  <c r="A133" i="4"/>
  <c r="O132" i="4"/>
  <c r="A132" i="4"/>
  <c r="O131" i="4"/>
  <c r="A131" i="4"/>
  <c r="O130" i="4"/>
  <c r="A130" i="4"/>
  <c r="O129" i="4"/>
  <c r="A129" i="4"/>
  <c r="O128" i="4"/>
  <c r="A128" i="4"/>
  <c r="O127" i="4"/>
  <c r="A127" i="4"/>
  <c r="O126" i="4"/>
  <c r="A126" i="4"/>
  <c r="O125" i="4"/>
  <c r="A125" i="4"/>
  <c r="O124" i="4"/>
  <c r="A124" i="4"/>
  <c r="O123" i="4"/>
  <c r="A123" i="4"/>
  <c r="O122" i="4"/>
  <c r="A122" i="4"/>
  <c r="O121" i="4"/>
  <c r="A121" i="4"/>
  <c r="O120" i="4"/>
  <c r="A120" i="4"/>
  <c r="O119" i="4"/>
  <c r="A119" i="4"/>
  <c r="O118" i="4"/>
  <c r="A118" i="4"/>
  <c r="O117" i="4"/>
  <c r="A117" i="4"/>
  <c r="O116" i="4"/>
  <c r="A116" i="4"/>
  <c r="O115" i="4"/>
  <c r="A115" i="4"/>
  <c r="O114" i="4"/>
  <c r="A114" i="4"/>
  <c r="O113" i="4"/>
  <c r="A113" i="4"/>
  <c r="O112" i="4"/>
  <c r="A112" i="4"/>
  <c r="O111" i="4"/>
  <c r="A111" i="4"/>
  <c r="O110" i="4"/>
  <c r="A110" i="4"/>
  <c r="O109" i="4"/>
  <c r="A109" i="4"/>
  <c r="O108" i="4"/>
  <c r="A108" i="4"/>
  <c r="O107" i="4"/>
  <c r="A107" i="4"/>
  <c r="O106" i="4"/>
  <c r="A106" i="4"/>
  <c r="O105" i="4"/>
  <c r="A105" i="4"/>
  <c r="O104" i="4"/>
  <c r="A104" i="4"/>
  <c r="O103" i="4"/>
  <c r="A103" i="4"/>
  <c r="O102" i="4"/>
  <c r="A102" i="4"/>
  <c r="O101" i="4"/>
  <c r="A101" i="4"/>
  <c r="O100" i="4"/>
  <c r="A100" i="4"/>
  <c r="O99" i="4"/>
  <c r="A99" i="4"/>
  <c r="O98" i="4"/>
  <c r="A98" i="4"/>
  <c r="O97" i="4"/>
  <c r="A97" i="4"/>
  <c r="O96" i="4"/>
  <c r="A96" i="4"/>
  <c r="O95" i="4"/>
  <c r="A95" i="4"/>
  <c r="O94" i="4"/>
  <c r="A94" i="4"/>
  <c r="O93" i="4"/>
  <c r="A93" i="4"/>
  <c r="O92" i="4"/>
  <c r="A92" i="4"/>
  <c r="O91" i="4"/>
  <c r="A91" i="4"/>
  <c r="O90" i="4"/>
  <c r="A90" i="4"/>
  <c r="O89" i="4"/>
  <c r="A89" i="4"/>
  <c r="O88" i="4"/>
  <c r="A88" i="4"/>
  <c r="O87" i="4"/>
  <c r="A87" i="4"/>
  <c r="O86" i="4"/>
  <c r="A86" i="4"/>
  <c r="O85" i="4"/>
  <c r="A85" i="4"/>
  <c r="O84" i="4"/>
  <c r="A84" i="4"/>
  <c r="O83" i="4"/>
  <c r="A83" i="4"/>
  <c r="O82" i="4"/>
  <c r="A82" i="4"/>
  <c r="O81" i="4"/>
  <c r="A81" i="4"/>
  <c r="O80" i="4"/>
  <c r="A80" i="4"/>
  <c r="O79" i="4"/>
  <c r="A79" i="4"/>
  <c r="O78" i="4"/>
  <c r="A78" i="4"/>
  <c r="O77" i="4"/>
  <c r="A77" i="4"/>
  <c r="O76" i="4"/>
  <c r="A76" i="4"/>
  <c r="O75" i="4"/>
  <c r="A75" i="4"/>
  <c r="O74" i="4"/>
  <c r="A74" i="4"/>
  <c r="O73" i="4"/>
  <c r="A73" i="4"/>
  <c r="O72" i="4"/>
  <c r="A72" i="4"/>
  <c r="O71" i="4"/>
  <c r="A71" i="4"/>
  <c r="O70" i="4"/>
  <c r="A70" i="4"/>
  <c r="O69" i="4"/>
  <c r="A69" i="4"/>
  <c r="O68" i="4"/>
  <c r="A68" i="4"/>
  <c r="O67" i="4"/>
  <c r="A67" i="4"/>
  <c r="O66" i="4"/>
  <c r="A66" i="4"/>
  <c r="O65" i="4"/>
  <c r="A65" i="4"/>
  <c r="O64" i="4"/>
  <c r="A64" i="4"/>
  <c r="O63" i="4"/>
  <c r="A63" i="4"/>
  <c r="O62" i="4"/>
  <c r="A62" i="4"/>
  <c r="O61" i="4"/>
  <c r="A61" i="4"/>
  <c r="O60" i="4"/>
  <c r="A60" i="4"/>
  <c r="O59" i="4"/>
  <c r="A59" i="4"/>
  <c r="O58" i="4"/>
  <c r="A58" i="4"/>
  <c r="O57" i="4"/>
  <c r="A57" i="4"/>
  <c r="O56" i="4"/>
  <c r="A56" i="4"/>
  <c r="O55" i="4"/>
  <c r="A55" i="4"/>
  <c r="O54" i="4"/>
  <c r="A54" i="4"/>
  <c r="O53" i="4"/>
  <c r="A53" i="4"/>
  <c r="O52" i="4"/>
  <c r="A52" i="4"/>
  <c r="O51" i="4"/>
  <c r="A51" i="4"/>
  <c r="O50" i="4"/>
  <c r="A50" i="4"/>
  <c r="O49" i="4"/>
  <c r="A49" i="4"/>
  <c r="O48" i="4"/>
  <c r="A48" i="4"/>
  <c r="O47" i="4"/>
  <c r="A47" i="4"/>
  <c r="O46" i="4"/>
  <c r="A46" i="4"/>
  <c r="O45" i="4"/>
  <c r="A45" i="4"/>
  <c r="O44" i="4"/>
  <c r="A44" i="4"/>
  <c r="O43" i="4"/>
  <c r="A43" i="4"/>
  <c r="O42" i="4"/>
  <c r="A42" i="4"/>
  <c r="O41" i="4"/>
  <c r="A41" i="4"/>
  <c r="O40" i="4"/>
  <c r="A40" i="4"/>
  <c r="O39" i="4"/>
  <c r="A39" i="4"/>
  <c r="O38" i="4"/>
  <c r="A38" i="4"/>
  <c r="O37" i="4"/>
  <c r="A37" i="4"/>
  <c r="O36" i="4"/>
  <c r="A36" i="4"/>
  <c r="O35" i="4"/>
  <c r="A35" i="4"/>
  <c r="O34" i="4"/>
  <c r="A34" i="4"/>
  <c r="O33" i="4"/>
  <c r="A33" i="4"/>
  <c r="O32" i="4"/>
  <c r="A32" i="4"/>
  <c r="O31" i="4"/>
  <c r="A31" i="4"/>
  <c r="O30" i="4"/>
  <c r="A30" i="4"/>
  <c r="O29" i="4"/>
  <c r="A29" i="4"/>
  <c r="O28" i="4"/>
  <c r="A28" i="4"/>
  <c r="O27" i="4"/>
  <c r="A27" i="4"/>
  <c r="O26" i="4"/>
  <c r="A26" i="4"/>
  <c r="O25" i="4"/>
  <c r="A25" i="4"/>
  <c r="O24" i="4"/>
  <c r="A24" i="4"/>
  <c r="O23" i="4"/>
  <c r="A23" i="4"/>
  <c r="O22" i="4"/>
  <c r="A22" i="4"/>
  <c r="O21" i="4"/>
  <c r="A21" i="4"/>
  <c r="O20" i="4"/>
  <c r="A20" i="4"/>
  <c r="O19" i="4"/>
  <c r="A19" i="4"/>
  <c r="O18" i="4"/>
  <c r="A18" i="4"/>
  <c r="O17" i="4"/>
  <c r="A17" i="4"/>
  <c r="O16" i="4"/>
  <c r="A16" i="4"/>
  <c r="O15" i="4"/>
  <c r="A15" i="4"/>
  <c r="O14" i="4"/>
  <c r="A14" i="4"/>
  <c r="O13" i="4"/>
  <c r="A13" i="4"/>
  <c r="O12" i="4"/>
  <c r="A12" i="4"/>
  <c r="O11" i="4"/>
  <c r="A11" i="4"/>
  <c r="O10" i="4"/>
  <c r="A10" i="4"/>
  <c r="O9" i="4"/>
  <c r="A9" i="4"/>
  <c r="O8" i="4"/>
  <c r="A8" i="4"/>
  <c r="O7" i="4"/>
  <c r="A7" i="4"/>
  <c r="O6" i="4"/>
  <c r="A6" i="4"/>
  <c r="O5" i="4"/>
  <c r="A5" i="4"/>
  <c r="O4" i="4"/>
  <c r="A4" i="4"/>
  <c r="O3" i="4"/>
  <c r="A3" i="4"/>
  <c r="O2" i="4"/>
  <c r="A2" i="4"/>
  <c r="Q49" i="3"/>
  <c r="R49" i="3" s="1"/>
  <c r="D49" i="3"/>
  <c r="C49" i="3"/>
  <c r="Q48" i="3"/>
  <c r="R48" i="3" s="1"/>
  <c r="D48" i="3"/>
  <c r="C48" i="3"/>
  <c r="Q47" i="3"/>
  <c r="R47" i="3" s="1"/>
  <c r="D47" i="3"/>
  <c r="C47" i="3"/>
  <c r="Q46" i="3"/>
  <c r="R46" i="3" s="1"/>
  <c r="D46" i="3"/>
  <c r="C46" i="3"/>
  <c r="Q45" i="3"/>
  <c r="R45" i="3" s="1"/>
  <c r="D45" i="3"/>
  <c r="C45" i="3"/>
  <c r="Q44" i="3"/>
  <c r="R44" i="3" s="1"/>
  <c r="D44" i="3"/>
  <c r="C44" i="3"/>
  <c r="Q43" i="3"/>
  <c r="R43" i="3" s="1"/>
  <c r="D43" i="3"/>
  <c r="C43" i="3"/>
  <c r="Q42" i="3"/>
  <c r="R42" i="3" s="1"/>
  <c r="D42" i="3"/>
  <c r="C42" i="3"/>
  <c r="Q41" i="3"/>
  <c r="R41" i="3" s="1"/>
  <c r="D41" i="3"/>
  <c r="C41" i="3"/>
  <c r="Q40" i="3"/>
  <c r="R40" i="3" s="1"/>
  <c r="D40" i="3"/>
  <c r="C40" i="3"/>
  <c r="Q39" i="3"/>
  <c r="R39" i="3" s="1"/>
  <c r="D39" i="3"/>
  <c r="C39" i="3"/>
  <c r="Q38" i="3"/>
  <c r="R38" i="3" s="1"/>
  <c r="D38" i="3"/>
  <c r="C38" i="3"/>
  <c r="Q37" i="3"/>
  <c r="R37" i="3" s="1"/>
  <c r="D37" i="3"/>
  <c r="C37" i="3"/>
  <c r="Q36" i="3"/>
  <c r="R36" i="3" s="1"/>
  <c r="D36" i="3"/>
  <c r="C36" i="3"/>
  <c r="Q35" i="3"/>
  <c r="R35" i="3" s="1"/>
  <c r="D35" i="3"/>
  <c r="C35" i="3"/>
  <c r="Q34" i="3"/>
  <c r="R34" i="3" s="1"/>
  <c r="D34" i="3"/>
  <c r="C34" i="3"/>
  <c r="Q33" i="3"/>
  <c r="R33" i="3" s="1"/>
  <c r="D33" i="3"/>
  <c r="C33" i="3"/>
  <c r="Q32" i="3"/>
  <c r="R32" i="3" s="1"/>
  <c r="D32" i="3"/>
  <c r="C32" i="3"/>
  <c r="Q31" i="3"/>
  <c r="R31" i="3" s="1"/>
  <c r="D31" i="3"/>
  <c r="C31" i="3"/>
  <c r="Q30" i="3"/>
  <c r="R30" i="3" s="1"/>
  <c r="D30" i="3"/>
  <c r="C30" i="3"/>
  <c r="Q29" i="3"/>
  <c r="R29" i="3" s="1"/>
  <c r="D29" i="3"/>
  <c r="C29" i="3"/>
  <c r="Q28" i="3"/>
  <c r="R28" i="3" s="1"/>
  <c r="D28" i="3"/>
  <c r="C28" i="3"/>
  <c r="Q27" i="3"/>
  <c r="R27" i="3" s="1"/>
  <c r="D27" i="3"/>
  <c r="C27" i="3"/>
  <c r="Q26" i="3"/>
  <c r="R26" i="3" s="1"/>
  <c r="D26" i="3"/>
  <c r="C26" i="3"/>
  <c r="Q25" i="3"/>
  <c r="R25" i="3" s="1"/>
  <c r="D25" i="3"/>
  <c r="C25" i="3"/>
  <c r="Q24" i="3"/>
  <c r="R24" i="3" s="1"/>
  <c r="D24" i="3"/>
  <c r="C24" i="3"/>
  <c r="Q23" i="3"/>
  <c r="R23" i="3" s="1"/>
  <c r="D23" i="3"/>
  <c r="C23" i="3"/>
  <c r="Q22" i="3"/>
  <c r="R22" i="3" s="1"/>
  <c r="D22" i="3"/>
  <c r="C22" i="3"/>
  <c r="Q21" i="3"/>
  <c r="R21" i="3" s="1"/>
  <c r="D21" i="3"/>
  <c r="C21" i="3"/>
  <c r="Q20" i="3"/>
  <c r="R20" i="3" s="1"/>
  <c r="D20" i="3"/>
  <c r="C20" i="3"/>
  <c r="Q19" i="3"/>
  <c r="R19" i="3" s="1"/>
  <c r="D19" i="3"/>
  <c r="C19" i="3"/>
  <c r="Q18" i="3"/>
  <c r="R18" i="3" s="1"/>
  <c r="D18" i="3"/>
  <c r="C18" i="3"/>
  <c r="Q17" i="3"/>
  <c r="R17" i="3" s="1"/>
  <c r="D17" i="3"/>
  <c r="C17" i="3"/>
  <c r="Q16" i="3"/>
  <c r="R16" i="3" s="1"/>
  <c r="D16" i="3"/>
  <c r="C16" i="3"/>
  <c r="Q15" i="3"/>
  <c r="R15" i="3" s="1"/>
  <c r="D15" i="3"/>
  <c r="C15" i="3"/>
  <c r="Q14" i="3"/>
  <c r="R14" i="3" s="1"/>
  <c r="D14" i="3"/>
  <c r="C14" i="3"/>
  <c r="Q13" i="3"/>
  <c r="R13" i="3" s="1"/>
  <c r="D13" i="3"/>
  <c r="C13" i="3"/>
  <c r="Q12" i="3"/>
  <c r="R12" i="3" s="1"/>
  <c r="D12" i="3"/>
  <c r="C12" i="3"/>
  <c r="Q11" i="3"/>
  <c r="R11" i="3" s="1"/>
  <c r="D11" i="3"/>
  <c r="C11" i="3"/>
  <c r="Q10" i="3"/>
  <c r="R10" i="3" s="1"/>
  <c r="D10" i="3"/>
  <c r="C10" i="3"/>
  <c r="Q9" i="3"/>
  <c r="R9" i="3" s="1"/>
  <c r="D9" i="3"/>
  <c r="C9" i="3"/>
  <c r="Q8" i="3"/>
  <c r="R8" i="3" s="1"/>
  <c r="D8" i="3"/>
  <c r="C8" i="3"/>
  <c r="Q7" i="3"/>
  <c r="R7" i="3" s="1"/>
  <c r="D7" i="3"/>
  <c r="C7" i="3"/>
  <c r="Q6" i="3"/>
  <c r="R6" i="3" s="1"/>
  <c r="D6" i="3"/>
  <c r="C6" i="3"/>
  <c r="Q5" i="3"/>
  <c r="R5" i="3" s="1"/>
  <c r="D5" i="3"/>
  <c r="C5" i="3"/>
  <c r="Q4" i="3"/>
  <c r="R4" i="3" s="1"/>
  <c r="D4" i="3"/>
  <c r="C4" i="3"/>
  <c r="Q3" i="3"/>
  <c r="R3" i="3" s="1"/>
  <c r="D3" i="3"/>
  <c r="C3" i="3"/>
  <c r="Q2" i="3"/>
  <c r="R2" i="3" s="1"/>
  <c r="D2" i="3"/>
  <c r="C2" i="3"/>
  <c r="C52" i="1"/>
  <c r="C33" i="6" l="1"/>
  <c r="B22" i="6"/>
  <c r="B28" i="6"/>
  <c r="C22" i="6"/>
  <c r="C28" i="6"/>
  <c r="B23" i="6"/>
  <c r="B29" i="6"/>
  <c r="C23" i="6"/>
  <c r="C29" i="6"/>
  <c r="B24" i="6"/>
  <c r="B30" i="6"/>
  <c r="C24" i="6"/>
  <c r="C30" i="6"/>
  <c r="B25" i="6"/>
  <c r="B31" i="6"/>
  <c r="C25" i="6"/>
  <c r="C31" i="6"/>
  <c r="B26" i="6"/>
  <c r="B32" i="6"/>
  <c r="C26" i="6"/>
  <c r="C32" i="6"/>
  <c r="B27" i="6"/>
  <c r="B33" i="6"/>
  <c r="C27" i="6"/>
</calcChain>
</file>

<file path=xl/sharedStrings.xml><?xml version="1.0" encoding="utf-8"?>
<sst xmlns="http://schemas.openxmlformats.org/spreadsheetml/2006/main" count="826" uniqueCount="327">
  <si>
    <t xml:space="preserve">Ngày </t>
  </si>
  <si>
    <t>Nội dung</t>
  </si>
  <si>
    <t xml:space="preserve">Số tiền </t>
  </si>
  <si>
    <t xml:space="preserve">Người được thăm </t>
  </si>
  <si>
    <t>Cán bộ công nhân viên</t>
  </si>
  <si>
    <t>QH</t>
  </si>
  <si>
    <t>Lý do</t>
  </si>
  <si>
    <t xml:space="preserve">Trả tiền </t>
  </si>
  <si>
    <t>Chi tiền viếng bố đẻ đc Lò Văn Sơn – CĐ Hạ tấng</t>
  </si>
  <si>
    <t>Lò Văn Sơn</t>
  </si>
  <si>
    <t xml:space="preserve">Mất </t>
  </si>
  <si>
    <t>Chi tiền tặng quà ĐVCĐ nghỉ việc CĐ TT Hạ tầng</t>
  </si>
  <si>
    <t>Chi tien tham vo dc Tuan sinh con CD TT Ha tang</t>
  </si>
  <si>
    <t xml:space="preserve">Đồng chí Tuấn </t>
  </si>
  <si>
    <t>Chứng từ chi tiền sinh nhật quý 4/2025</t>
  </si>
  <si>
    <t>Chứng từ chi tiền sinh nhật quý 1/2026 + 02/2026</t>
  </si>
  <si>
    <t xml:space="preserve">Chi tiền thanh toán lễ thăm viếng </t>
  </si>
  <si>
    <t>Ngô Minh Hòa</t>
  </si>
  <si>
    <t>Nguyễn Minh Cường</t>
  </si>
  <si>
    <t>Bác bị mất ngày 14/11/2025</t>
  </si>
  <si>
    <t xml:space="preserve">Lê Anh Tuấn </t>
  </si>
  <si>
    <t>Phú Thọ</t>
  </si>
  <si>
    <t xml:space="preserve">Chi thăm hỏi đồng chí Bùi Văn Tình </t>
  </si>
  <si>
    <t>Bùi Văn Tình</t>
  </si>
  <si>
    <t>Ốm Đi viện</t>
  </si>
  <si>
    <t>Hòa Bình</t>
  </si>
  <si>
    <t xml:space="preserve">Thăm hỏi đoàn viên công đoàn </t>
  </si>
  <si>
    <t>Trần Đức Tân</t>
  </si>
  <si>
    <t>Trần Tuyên</t>
  </si>
  <si>
    <t>Nguyễn Đắc Thao</t>
  </si>
  <si>
    <t xml:space="preserve">Nguyễn Mạnh Cường </t>
  </si>
  <si>
    <t>Nguyễn Thị Hồng Vân</t>
  </si>
  <si>
    <t xml:space="preserve">Ôn Đức Phương </t>
  </si>
  <si>
    <t>Vợ</t>
  </si>
  <si>
    <t>Sinh em bé</t>
  </si>
  <si>
    <t>Nguyễn Văn Phây</t>
  </si>
  <si>
    <t>Vĩnh phúc</t>
  </si>
  <si>
    <t>Nguyễn Thị Thanh Hải</t>
  </si>
  <si>
    <t>Cao Văn Huy</t>
  </si>
  <si>
    <t>Đỗ Thị Niên</t>
  </si>
  <si>
    <t>Trần Anh Quân</t>
  </si>
  <si>
    <t>Bác bị mất ngày 26/1/2026</t>
  </si>
  <si>
    <t>Nguyễn Thị Phương Anh</t>
  </si>
  <si>
    <t>Ngô Thị Anh</t>
  </si>
  <si>
    <t>Ma Văn Tuất</t>
  </si>
  <si>
    <t>Ma Văn Nam</t>
  </si>
  <si>
    <t xml:space="preserve">Bố đẻ </t>
  </si>
  <si>
    <t>Bác bị mất ngày 18/2/2026</t>
  </si>
  <si>
    <t>TTVT Thanh Thủy</t>
  </si>
  <si>
    <t>Đinh Thị Vân</t>
  </si>
  <si>
    <t>Ngô Anh Đức</t>
  </si>
  <si>
    <t>Mẹ vợ</t>
  </si>
  <si>
    <t>Bác bị mất ngày 28/2/2026</t>
  </si>
  <si>
    <t>VNPT Vĩnh Tường</t>
  </si>
  <si>
    <t>Bùi Văn Xuân</t>
  </si>
  <si>
    <t>Bùi Văn Đông</t>
  </si>
  <si>
    <t>Bố</t>
  </si>
  <si>
    <t>Dương Văn Nam</t>
  </si>
  <si>
    <t>Nguyễn Trường Sơn</t>
  </si>
  <si>
    <t>Bùi Văn Lệch</t>
  </si>
  <si>
    <t>Bùi Văn Nhất</t>
  </si>
  <si>
    <t>Đường Thị Ngọc Trang</t>
  </si>
  <si>
    <t>Nguyễn Tuấn Linh</t>
  </si>
  <si>
    <t>Nguyễn Bảo Ngọc</t>
  </si>
  <si>
    <t>Hoàng Phương Nhung</t>
  </si>
  <si>
    <t xml:space="preserve">Con gái </t>
  </si>
  <si>
    <t xml:space="preserve">Nguyễn Văn Hồng </t>
  </si>
  <si>
    <t>Nguyễn Văn Quân</t>
  </si>
  <si>
    <t>Bác bị mất ngày 20/03/2026</t>
  </si>
  <si>
    <t>TTVT Vĩnh Tường</t>
  </si>
  <si>
    <t>Lê Quân Nhạc</t>
  </si>
  <si>
    <t>Bùi Thanh Quang</t>
  </si>
  <si>
    <t>Bố vợ</t>
  </si>
  <si>
    <t>Hoàng Trung Quân</t>
  </si>
  <si>
    <t>Hoàng Trung Dũng</t>
  </si>
  <si>
    <t xml:space="preserve">Tăng Bá Trứ  </t>
  </si>
  <si>
    <t>Nguyễn Thị Ánh Tuyết</t>
  </si>
  <si>
    <t xml:space="preserve">bố </t>
  </si>
  <si>
    <t xml:space="preserve">Nguyễn Thị Thanh Tuyết </t>
  </si>
  <si>
    <t>Hoàng Xuân Sửu</t>
  </si>
  <si>
    <t>vợ</t>
  </si>
  <si>
    <t>Chi tiền sinh nhật tháng 03/2026</t>
  </si>
  <si>
    <t>Chi tiền thăm hỏi đoàn viên công đoàn</t>
  </si>
  <si>
    <t xml:space="preserve">Bùi Văn Nhất </t>
  </si>
  <si>
    <t xml:space="preserve">đồng chí </t>
  </si>
  <si>
    <t xml:space="preserve">Nguyễn Thị Phương </t>
  </si>
  <si>
    <t>Nguyễn Minh Chí</t>
  </si>
  <si>
    <t xml:space="preserve">Hạ Thị Ái </t>
  </si>
  <si>
    <t>Đặng Hồng Quân</t>
  </si>
  <si>
    <t>Chi tiền sinh nhật tháng 04/2026 CĐ TT Hạ tầng</t>
  </si>
  <si>
    <t xml:space="preserve">Phùng Minh Gióng </t>
  </si>
  <si>
    <t xml:space="preserve">Phùng Thế Nam </t>
  </si>
  <si>
    <t>Mất</t>
  </si>
  <si>
    <t xml:space="preserve">Vũ Thị Thảo </t>
  </si>
  <si>
    <t>Nguyễn Hữu Ước</t>
  </si>
  <si>
    <t>QĐ số 19 ngày 28/04/2026 Trợ cấp đoàn viên gặp hoả hoạn tai nạn rủi ro</t>
  </si>
  <si>
    <t xml:space="preserve">Hà Văn Huẩn </t>
  </si>
  <si>
    <t xml:space="preserve">Quách Văn Khái </t>
  </si>
  <si>
    <t xml:space="preserve">Nguyễn Minh Trí </t>
  </si>
  <si>
    <t>Chi sinh nhật T5 CĐ TT Hạ tầng</t>
  </si>
  <si>
    <t xml:space="preserve">Đồng Thị Loan </t>
  </si>
  <si>
    <t>Lê Thế Long</t>
  </si>
  <si>
    <t xml:space="preserve">Vũ Thị Lan Phương </t>
  </si>
  <si>
    <t xml:space="preserve">tai nạn bất ngờ </t>
  </si>
  <si>
    <t>QĐ số 18/QĐ-CĐVNPT-PTO ngày 09/06/2026 Trợ cấp cho ĐV Vũ Thị Lan Phương CĐ TT Hạ tầng gặp tai nạn rủi ro</t>
  </si>
  <si>
    <t xml:space="preserve">Ngô Thành Chung </t>
  </si>
  <si>
    <t>Dương Văn Dần</t>
  </si>
  <si>
    <t>Chi sinh nhật tháng 6/2026 CĐ TT Hạ tầng</t>
  </si>
  <si>
    <t xml:space="preserve">Nguyễn Thị Thảo </t>
  </si>
  <si>
    <t xml:space="preserve">Đào Quốc Khánh </t>
  </si>
  <si>
    <t>Nguyễn Tuấn Sửu</t>
  </si>
  <si>
    <t>Nguyễn Thị Thúy</t>
  </si>
  <si>
    <t xml:space="preserve">bố chồng </t>
  </si>
  <si>
    <t>Hoàng Hữu Đức</t>
  </si>
  <si>
    <t xml:space="preserve">Nguyễn Đức Mạnh  </t>
  </si>
  <si>
    <t>Nguyễn Văn Đài</t>
  </si>
  <si>
    <t>MỤC</t>
  </si>
  <si>
    <t>NỘI DUNG</t>
  </si>
  <si>
    <t>1. TIEP_NHAN</t>
  </si>
  <si>
    <t>Các Tổ Hạ tầng nhập trường hợp mới phát sinh. Cột màu vàng là cột cần nhập; các cột còn lại dùng để theo dõi tiến độ.</t>
  </si>
  <si>
    <t>2. DL_CHAM_LO</t>
  </si>
  <si>
    <t>Cơ sở dữ liệu lịch sử và phát sinh đã được chuẩn hóa. Dữ liệu gốc vẫn được giữ nguyên tại sheet TH.</t>
  </si>
  <si>
    <t>3. QUY_CHE</t>
  </si>
  <si>
    <t>Danh mục loại chăm lo, mức hỗ trợ tham khảo và hồ sơ cần có. Ban Chấp hành Công đoàn là cấp quyết định cuối cùng.</t>
  </si>
  <si>
    <t>4. DASHBOARD</t>
  </si>
  <si>
    <t>Theo dõi nhanh tổng số lượt, tổng kinh phí, cơ cấu loại hỗ trợ, địa bàn và trạng thái xử lý.</t>
  </si>
  <si>
    <t>5. AI_TRO_LY</t>
  </si>
  <si>
    <t>Tạo nội dung đầu vào để sử dụng với công cụ AI: phân loại vụ việc, kiểm tra hồ sơ, soạn tờ trình, quyết định, danh sách chi và báo cáo.</t>
  </si>
  <si>
    <t>Quy trình</t>
  </si>
  <si>
    <t>Tổ nhập thông tin → Cán bộ công đoàn kiểm tra → Đối chiếu quy chế → Trình duyệt → Chi trả → Hoàn thiện chứng từ → Lưu hồ sơ số.</t>
  </si>
  <si>
    <t>Nguyên tắc bảo mật</t>
  </si>
  <si>
    <t>Không đưa CCCD, số tài khoản, hồ sơ bệnh án hoặc dữ liệu cá nhân nhạy cảm lên công cụ AI công cộng. Chỉ dùng dữ liệu tối thiểu cần thiết và phải kiểm tra lại kết quả AI.</t>
  </si>
  <si>
    <t>Mã hồ sơ</t>
  </si>
  <si>
    <t>Ngày phát sinh</t>
  </si>
  <si>
    <t>Năm</t>
  </si>
  <si>
    <t>Tháng</t>
  </si>
  <si>
    <t>Loại chăm lo</t>
  </si>
  <si>
    <t>Số tiền</t>
  </si>
  <si>
    <t>Người được thăm/hỗ trợ</t>
  </si>
  <si>
    <t>Đoàn viên liên quan</t>
  </si>
  <si>
    <t>Quan hệ</t>
  </si>
  <si>
    <t>Người thực hiện</t>
  </si>
  <si>
    <t>Địa bàn</t>
  </si>
  <si>
    <t>Đơn vị</t>
  </si>
  <si>
    <t>Trạng thái</t>
  </si>
  <si>
    <t>Ngày hoàn thành</t>
  </si>
  <si>
    <t>Số ngày xử lý</t>
  </si>
  <si>
    <t>Cảnh báo</t>
  </si>
  <si>
    <t>LS-001</t>
  </si>
  <si>
    <t>Hiếu/viếng</t>
  </si>
  <si>
    <t>Đã hoàn thành</t>
  </si>
  <si>
    <t>LS-002</t>
  </si>
  <si>
    <t>Quà đoàn viên nghỉ việc</t>
  </si>
  <si>
    <t>LS-003</t>
  </si>
  <si>
    <t>Hỷ/Sinh con</t>
  </si>
  <si>
    <t>Đồng chí Tuấn</t>
  </si>
  <si>
    <t>LS-004</t>
  </si>
  <si>
    <t>Sinh nhật</t>
  </si>
  <si>
    <t>LS-005</t>
  </si>
  <si>
    <t>LS-006</t>
  </si>
  <si>
    <t>Chi tiền thanh toán lễ thăm viếng</t>
  </si>
  <si>
    <t>Lê Anh Tuấn</t>
  </si>
  <si>
    <t>LS-007</t>
  </si>
  <si>
    <t>Chi thăm hỏi đồng chí Bùi Văn Tình</t>
  </si>
  <si>
    <t>Ốm đau/đi viện</t>
  </si>
  <si>
    <t>LS-008</t>
  </si>
  <si>
    <t>Thăm hỏi đoàn viên công đoàn</t>
  </si>
  <si>
    <t>LS-009</t>
  </si>
  <si>
    <t>Nguyễn Mạnh Cường</t>
  </si>
  <si>
    <t>LS-010</t>
  </si>
  <si>
    <t>Ôn Đức Phương</t>
  </si>
  <si>
    <t>LS-011</t>
  </si>
  <si>
    <t>LS-012</t>
  </si>
  <si>
    <t>LS-013</t>
  </si>
  <si>
    <t>LS-014</t>
  </si>
  <si>
    <t>Bố đẻ</t>
  </si>
  <si>
    <t>LS-015</t>
  </si>
  <si>
    <t>LS-016</t>
  </si>
  <si>
    <t>LS-017</t>
  </si>
  <si>
    <t>LS-018</t>
  </si>
  <si>
    <t>LS-019</t>
  </si>
  <si>
    <t>LS-020</t>
  </si>
  <si>
    <t>Con gái</t>
  </si>
  <si>
    <t>LS-021</t>
  </si>
  <si>
    <t>Nguyễn Văn Hồng</t>
  </si>
  <si>
    <t>LS-022</t>
  </si>
  <si>
    <t>LS-023</t>
  </si>
  <si>
    <t>LS-024</t>
  </si>
  <si>
    <t>Tăng Bá Trứ</t>
  </si>
  <si>
    <t>bố</t>
  </si>
  <si>
    <t>LS-025</t>
  </si>
  <si>
    <t>Nguyễn Thị Thanh Tuyết</t>
  </si>
  <si>
    <t>LS-026</t>
  </si>
  <si>
    <t>LS-027</t>
  </si>
  <si>
    <t>đồng chí</t>
  </si>
  <si>
    <t>LS-028</t>
  </si>
  <si>
    <t>Nguyễn Thị Phương</t>
  </si>
  <si>
    <t>LS-029</t>
  </si>
  <si>
    <t>Hạ Thị Ái</t>
  </si>
  <si>
    <t>LS-030</t>
  </si>
  <si>
    <t>LS-031</t>
  </si>
  <si>
    <t>Phùng Minh Gióng</t>
  </si>
  <si>
    <t>Phùng Thế Nam</t>
  </si>
  <si>
    <t>LS-032</t>
  </si>
  <si>
    <t>Vũ Thị Thảo</t>
  </si>
  <si>
    <t>LS-033</t>
  </si>
  <si>
    <t>Tai nạn/rủi ro</t>
  </si>
  <si>
    <t>LS-034</t>
  </si>
  <si>
    <t>LS-035</t>
  </si>
  <si>
    <t>Hà Văn Huẩn</t>
  </si>
  <si>
    <t>LS-036</t>
  </si>
  <si>
    <t>Quách Văn Khái</t>
  </si>
  <si>
    <t>Nguyễn Minh Trí</t>
  </si>
  <si>
    <t>LS-037</t>
  </si>
  <si>
    <t>LS-038</t>
  </si>
  <si>
    <t>Đồng Thị Loan</t>
  </si>
  <si>
    <t>LS-039</t>
  </si>
  <si>
    <t>Vũ Thị Lan Phương</t>
  </si>
  <si>
    <t>tai nạn bất ngờ</t>
  </si>
  <si>
    <t>LS-040</t>
  </si>
  <si>
    <t>LS-041</t>
  </si>
  <si>
    <t>Ngô Thành Chung</t>
  </si>
  <si>
    <t>LS-042</t>
  </si>
  <si>
    <t>LS-043</t>
  </si>
  <si>
    <t>LS-044</t>
  </si>
  <si>
    <t>Nguyễn Thị Thảo</t>
  </si>
  <si>
    <t>Đào Quốc Khánh</t>
  </si>
  <si>
    <t>LS-045</t>
  </si>
  <si>
    <t>bố chồng</t>
  </si>
  <si>
    <t>LS-046</t>
  </si>
  <si>
    <t>LS-047</t>
  </si>
  <si>
    <t>Nguyễn Đức Mạnh</t>
  </si>
  <si>
    <t>LS-048</t>
  </si>
  <si>
    <t>Ngày tiếp nhận</t>
  </si>
  <si>
    <t>Người đề nghị</t>
  </si>
  <si>
    <t>Tổ/Địa bàn</t>
  </si>
  <si>
    <t>Người được hỗ trợ</t>
  </si>
  <si>
    <t>Nội dung sự việc</t>
  </si>
  <si>
    <t>Mức đề nghị</t>
  </si>
  <si>
    <t>Hồ sơ đã có</t>
  </si>
  <si>
    <t>Hồ sơ còn thiếu</t>
  </si>
  <si>
    <t>Mức độ ưu tiên</t>
  </si>
  <si>
    <t>Người xử lý</t>
  </si>
  <si>
    <t>Hạn xử lý</t>
  </si>
  <si>
    <t>Ngày duyệt</t>
  </si>
  <si>
    <t>Ngày chi</t>
  </si>
  <si>
    <t>Kết quả/Ghi chú</t>
  </si>
  <si>
    <t>Đường dẫn hồ sơ số</t>
  </si>
  <si>
    <t>DANH MỤC CHĂM LO VÀ QUY TẮC XỬ LÝ THAM KHẢO</t>
  </si>
  <si>
    <t>Mã loại</t>
  </si>
  <si>
    <t>Từ khóa nhận diện</t>
  </si>
  <si>
    <t>Mức tham khảo (đồng)</t>
  </si>
  <si>
    <t>Hồ sơ tối thiểu</t>
  </si>
  <si>
    <t>Thời hạn xử lý mục tiêu</t>
  </si>
  <si>
    <t>Ghi chú</t>
  </si>
  <si>
    <t>OM_DAU</t>
  </si>
  <si>
    <t>ốm; đi viện; điều trị</t>
  </si>
  <si>
    <t>Đề nghị/Thông tin xác nhận; danh sách chi</t>
  </si>
  <si>
    <t>02 ngày</t>
  </si>
  <si>
    <t>Áp dụng theo quy chế thực tế</t>
  </si>
  <si>
    <t>HIEU</t>
  </si>
  <si>
    <t>mất; viếng; bố; mẹ; vợ; chồng</t>
  </si>
  <si>
    <t>Thông tin sự việc; danh sách chi; chứng từ</t>
  </si>
  <si>
    <t>01 ngày</t>
  </si>
  <si>
    <t>Mức có thể khác theo quan hệ</t>
  </si>
  <si>
    <t>HY_SINH_CON</t>
  </si>
  <si>
    <t>sinh con; sinh em bé</t>
  </si>
  <si>
    <t>Thông tin đoàn viên; danh sách chi</t>
  </si>
  <si>
    <t>03 ngày</t>
  </si>
  <si>
    <t>Theo quy chế thực tế</t>
  </si>
  <si>
    <t>TAI_NAN_RUI_RO</t>
  </si>
  <si>
    <t>tai nạn; hỏa hoạn; rủi ro</t>
  </si>
  <si>
    <t>Tờ trình; xác minh; quyết định; chứng từ</t>
  </si>
  <si>
    <t>Có thể trình trợ cấp bổ sung</t>
  </si>
  <si>
    <t>SINH_NHAT</t>
  </si>
  <si>
    <t>sinh nhật</t>
  </si>
  <si>
    <t>Danh sách sinh nhật; quyết định/đề nghị chi</t>
  </si>
  <si>
    <t>Theo tháng</t>
  </si>
  <si>
    <t>Mức bình quân/người</t>
  </si>
  <si>
    <t>NGHI_VIEC</t>
  </si>
  <si>
    <t>nghỉ việc; chia tay</t>
  </si>
  <si>
    <t>Danh sách; quyết định/đề nghị chi</t>
  </si>
  <si>
    <t>05 ngày</t>
  </si>
  <si>
    <t>Theo chủ trương từng thời kỳ</t>
  </si>
  <si>
    <t>KHAC</t>
  </si>
  <si>
    <t>Khác</t>
  </si>
  <si>
    <t>khác</t>
  </si>
  <si>
    <t>Hồ sơ theo nội dung phát sinh</t>
  </si>
  <si>
    <t>BCH xem xét riêng</t>
  </si>
  <si>
    <t>DASHBOARD CHĂM LO ĐOÀN VIÊN – CÔNG ĐOÀN TRUNG TÂM HẠ TẦNG</t>
  </si>
  <si>
    <t>TỔNG SỐ LƯỢT</t>
  </si>
  <si>
    <t>TỔNG KINH PHÍ</t>
  </si>
  <si>
    <t>SỐ ĐỊA BÀN</t>
  </si>
  <si>
    <t>MỨC CHI BÌNH QUÂN</t>
  </si>
  <si>
    <t>Số lượt</t>
  </si>
  <si>
    <t>Chưa xác định</t>
  </si>
  <si>
    <t>Chức năng</t>
  </si>
  <si>
    <t>Dữ liệu đầu vào tối thiểu</t>
  </si>
  <si>
    <t>Câu lệnh mẫu sử dụng với AI</t>
  </si>
  <si>
    <t>Kết quả cần kiểm tra</t>
  </si>
  <si>
    <t>Phân loại vụ việc</t>
  </si>
  <si>
    <t>Nội dung sự việc; quan hệ; hoàn cảnh</t>
  </si>
  <si>
    <t>Bạn là trợ lý công đoàn. Hãy phân loại trường hợp sau vào một trong các nhóm: Ốm đau, Hiếu, Hỷ/Sinh con, Tai nạn-rủi ro, Sinh nhật, Nghỉ việc hoặc Khác. Nêu lý do phân loại và hồ sơ cần bổ sung. Dữ liệu: [DÁN NỘI DUNG].</t>
  </si>
  <si>
    <t>Đúng nhóm; không suy diễn thông tin cá nhân</t>
  </si>
  <si>
    <t>Kiểm tra hồ sơ</t>
  </si>
  <si>
    <t>Loại chăm lo; danh sách giấy tờ đã có</t>
  </si>
  <si>
    <t>Căn cứ danh mục hồ sơ nội bộ được cung cấp, hãy lập bảng gồm: hồ sơ đã có, hồ sơ còn thiếu, người chịu trách nhiệm bổ sung và hạn hoàn thành. Không tự đặt ra quy định mới. Dữ liệu: [DÁN NỘI DUNG].</t>
  </si>
  <si>
    <t>Đối chiếu lại Quy chế Công đoàn</t>
  </si>
  <si>
    <t>Soạn giấy đề nghị</t>
  </si>
  <si>
    <t>Thông tin vụ việc; mức đề nghị; nguồn chi</t>
  </si>
  <si>
    <t>Hãy soạn Giấy đề nghị chi thăm hỏi đoàn viên theo văn phong hành chính, ngắn gọn, đủ căn cứ nội bộ, nêu rõ đối tượng, lý do, mức đề nghị và trách nhiệm hoàn thiện chứng từ. Dữ liệu: [DÁN NỘI DUNG].</t>
  </si>
  <si>
    <t>Tên, số tiền, thời gian, người ký</t>
  </si>
  <si>
    <t>Soạn quyết định</t>
  </si>
  <si>
    <t>Danh sách đối tượng; loại hỗ trợ; số tiền</t>
  </si>
  <si>
    <t>Hãy soạn Quyết định chi hỗ trợ/thăm hỏi đoàn viên gồm căn cứ, điều khoản phê duyệt, danh sách kèm theo, nguồn chi và trách nhiệm thi hành. Dữ liệu: [DÁN NỘI DUNG].</t>
  </si>
  <si>
    <t>Thẩm quyền và số tiền</t>
  </si>
  <si>
    <t>Lập báo cáo tháng</t>
  </si>
  <si>
    <t>Số lượt; số tiền; nhóm; địa bàn; tồn đọng</t>
  </si>
  <si>
    <t>Hãy viết báo cáo công tác chăm lo đoàn viên tháng [THÁNG] gồm kết quả thực hiện, cơ cấu đối tượng, kinh phí, trường hợp nổi bật, hồ sơ tồn đọng, khó khăn và nhiệm vụ tháng sau. Không nêu dữ liệu nhạy cảm không cần thiết.</t>
  </si>
  <si>
    <t>Số liệu phải khớp Dashboard</t>
  </si>
  <si>
    <t>Phân tích xu hướng</t>
  </si>
  <si>
    <t>Bảng dữ liệu đã ẩn thông tin định danh</t>
  </si>
  <si>
    <t>Hãy phân tích xu hướng chăm lo đoàn viên theo tháng, loại hỗ trợ và địa bàn; chỉ ra nhóm tăng bất thường, nguy cơ bỏ sót và đề xuất ưu tiên. Không đưa ra kết luận y tế hoặc đánh giá cá nhân.</t>
  </si>
  <si>
    <t>Ẩn danh trước khi gửi AI</t>
  </si>
  <si>
    <t>LƯU Ý: AI chỉ hỗ trợ phân loại, tổng hợp và soạn thảo. Ban Chấp hành Công đoàn phải kiểm tra lại nội dung, thẩm quyền, mức chi và hồ sơ trước khi phê duyệt. Không nhập dữ liệu cá nhân nhạy cảm lên nền tảng AI công cộng.</t>
  </si>
  <si>
    <t>HỆ THỐNG CÔNG ĐOÀN SỐ
Quản lý công tác chăm lo đoàn viên, người lao động</t>
  </si>
  <si>
    <t>TRỢ LÝ  – BỘ CÂU LỆNH HỖ TRỢ CÔNG TÁC CHĂM LO ĐOÀN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</si>
</sst>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1" x14ac:knownFonts="1">
    <font>
      <sz val="11"/>
      <color theme="1"/>
      <name val="Calibri"/>
    </font>
    <font>
      <sz val="11"/>
      <color theme="1"/>
      <name val="Calibri"/>
    </font>
    <font>
      <b/>
      <sz val="11"/>
      <color theme="1"/>
      <name val="Times New Roman"/>
    </font>
    <font>
      <sz val="11"/>
      <color theme="1"/>
      <name val="Times New Roman"/>
    </font>
    <font>
      <sz val="11"/>
      <color rgb="FF000000"/>
      <name val="Times New Roman"/>
    </font>
    <font>
      <sz val="11"/>
      <color rgb="FF141716"/>
      <name val="Times New Roman"/>
    </font>
    <font>
      <b/>
      <sz val="16"/>
      <color rgb="FFFFFFFF"/>
      <name val="Calibri"/>
    </font>
    <font>
      <b/>
      <sz val="11"/>
      <color rgb="FFFFFFFF"/>
      <name val="Calibri"/>
    </font>
    <font>
      <b/>
      <sz val="11"/>
      <color rgb="FF7F6000"/>
      <name val="Calibri"/>
    </font>
    <font>
      <b/>
      <sz val="11"/>
      <color rgb="FF1F1F1F"/>
      <name val="Calibri"/>
    </font>
    <font>
      <b/>
      <sz val="18"/>
      <color rgb="FF1F4E78"/>
      <name val="Calibri"/>
    </font>
  </fonts>
  <fills count="9">
    <fill>
      <patternFill patternType="none"/>
    </fill>
    <fill>
      <patternFill patternType="gray125"/>
    </fill>
    <fill>
      <patternFill patternType="solid">
        <fgColor rgb="FFFFFF00"/>
      </patternFill>
    </fill>
    <fill>
      <patternFill patternType="solid">
        <fgColor rgb="FF1F4E78"/>
      </patternFill>
    </fill>
    <fill>
      <patternFill patternType="solid">
        <fgColor rgb="FF5B9BD5"/>
      </patternFill>
    </fill>
    <fill>
      <patternFill patternType="solid">
        <fgColor rgb="FFFFF2CC"/>
      </patternFill>
    </fill>
    <fill>
      <patternFill patternType="solid">
        <fgColor rgb="FFFCE5CD"/>
      </patternFill>
    </fill>
    <fill>
      <patternFill patternType="solid">
        <fgColor rgb="FFD9EAF7"/>
      </patternFill>
    </fill>
    <fill>
      <patternFill patternType="solid">
        <fgColor rgb="FFEAF2F8"/>
      </patternFill>
    </fill>
  </fills>
  <borders count="10">
    <border>
      <left/>
      <right/>
      <top/>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3">
    <xf numFmtId="0" fontId="0" fillId="0" borderId="0"/>
    <xf numFmtId="41" fontId="1" fillId="0" borderId="0" applyFont="0" applyFill="0" applyBorder="0" applyAlignment="0" applyProtection="0"/>
    <xf numFmtId="0" fontId="1" fillId="0" borderId="0"/>
  </cellStyleXfs>
  <cellXfs count="70">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0" xfId="0" applyFont="1" applyAlignment="1">
      <alignment vertical="center"/>
    </xf>
    <xf numFmtId="49" fontId="4" fillId="2" borderId="1" xfId="2" applyNumberFormat="1" applyFont="1" applyFill="1" applyBorder="1" applyAlignment="1">
      <alignment vertical="center" wrapText="1"/>
    </xf>
    <xf numFmtId="0" fontId="3" fillId="0" borderId="1" xfId="0" applyFont="1" applyBorder="1"/>
    <xf numFmtId="14" fontId="3" fillId="0" borderId="1" xfId="0" applyNumberFormat="1" applyFont="1" applyBorder="1" applyAlignment="1">
      <alignment horizontal="center" vertical="center"/>
    </xf>
    <xf numFmtId="14" fontId="3" fillId="2" borderId="1" xfId="0" applyNumberFormat="1" applyFont="1" applyFill="1" applyBorder="1" applyAlignment="1">
      <alignment horizontal="center" vertical="center"/>
    </xf>
    <xf numFmtId="0" fontId="3" fillId="2" borderId="1" xfId="0" applyFont="1" applyFill="1" applyBorder="1"/>
    <xf numFmtId="0" fontId="3" fillId="2" borderId="0" xfId="0" applyFont="1" applyFill="1"/>
    <xf numFmtId="0" fontId="5" fillId="0" borderId="1" xfId="0" applyFont="1" applyBorder="1"/>
    <xf numFmtId="49" fontId="4" fillId="0" borderId="1" xfId="2" applyNumberFormat="1" applyFont="1" applyBorder="1" applyAlignment="1">
      <alignment vertical="center" wrapText="1"/>
    </xf>
    <xf numFmtId="0" fontId="3" fillId="0" borderId="0" xfId="0" applyFont="1" applyAlignment="1">
      <alignment horizontal="center" vertical="center"/>
    </xf>
    <xf numFmtId="41" fontId="2" fillId="0" borderId="1" xfId="1" applyFont="1" applyBorder="1" applyAlignment="1">
      <alignment vertical="center"/>
    </xf>
    <xf numFmtId="41" fontId="3" fillId="0" borderId="0" xfId="1" applyFont="1"/>
    <xf numFmtId="0" fontId="7" fillId="4" borderId="0" xfId="0" applyFont="1" applyFill="1" applyAlignment="1">
      <alignment horizontal="center" vertical="center" wrapText="1"/>
    </xf>
    <xf numFmtId="0" fontId="0" fillId="0" borderId="0" xfId="0" applyAlignment="1">
      <alignment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7" fillId="4" borderId="8" xfId="0" applyFont="1" applyFill="1" applyBorder="1" applyAlignment="1">
      <alignment horizontal="center" vertical="center" wrapText="1"/>
    </xf>
    <xf numFmtId="0" fontId="0" fillId="0" borderId="9" xfId="0" applyBorder="1" applyAlignment="1">
      <alignment wrapText="1"/>
    </xf>
    <xf numFmtId="3" fontId="0" fillId="0" borderId="0" xfId="0" applyNumberFormat="1" applyAlignment="1">
      <alignment wrapText="1"/>
    </xf>
    <xf numFmtId="3" fontId="0" fillId="0" borderId="9" xfId="0" applyNumberFormat="1" applyBorder="1" applyAlignment="1">
      <alignment wrapText="1"/>
    </xf>
    <xf numFmtId="3" fontId="0" fillId="0" borderId="0" xfId="0" applyNumberFormat="1"/>
    <xf numFmtId="14" fontId="0" fillId="0" borderId="0" xfId="0" applyNumberFormat="1"/>
    <xf numFmtId="0" fontId="0" fillId="0" borderId="4" xfId="0" applyBorder="1"/>
    <xf numFmtId="0" fontId="0" fillId="0" borderId="5" xfId="0" applyBorder="1"/>
    <xf numFmtId="0" fontId="0" fillId="0" borderId="6" xfId="0" applyBorder="1"/>
    <xf numFmtId="14" fontId="0" fillId="0" borderId="9" xfId="0" applyNumberFormat="1" applyBorder="1"/>
    <xf numFmtId="0" fontId="0" fillId="0" borderId="9" xfId="0" applyBorder="1"/>
    <xf numFmtId="0" fontId="0" fillId="0" borderId="7" xfId="0" applyBorder="1"/>
    <xf numFmtId="0" fontId="0" fillId="0" borderId="2" xfId="0" applyBorder="1"/>
    <xf numFmtId="0" fontId="0" fillId="5" borderId="8" xfId="0" applyFill="1" applyBorder="1"/>
    <xf numFmtId="0" fontId="0" fillId="5" borderId="0" xfId="0" applyFill="1"/>
    <xf numFmtId="0" fontId="0" fillId="5" borderId="9" xfId="0" applyFill="1" applyBorder="1"/>
    <xf numFmtId="14" fontId="0" fillId="5" borderId="8" xfId="0" applyNumberFormat="1" applyFill="1" applyBorder="1"/>
    <xf numFmtId="14" fontId="0" fillId="5" borderId="0" xfId="0" applyNumberFormat="1" applyFill="1"/>
    <xf numFmtId="14" fontId="0" fillId="5" borderId="9" xfId="0" applyNumberFormat="1" applyFill="1" applyBorder="1"/>
    <xf numFmtId="0" fontId="0" fillId="5" borderId="8" xfId="0" applyFill="1" applyBorder="1" applyAlignment="1">
      <alignment wrapText="1"/>
    </xf>
    <xf numFmtId="3" fontId="0" fillId="5" borderId="8" xfId="0" applyNumberFormat="1" applyFill="1" applyBorder="1" applyAlignment="1">
      <alignment wrapText="1"/>
    </xf>
    <xf numFmtId="0" fontId="0" fillId="0" borderId="8" xfId="0" applyBorder="1" applyAlignment="1">
      <alignment wrapText="1"/>
    </xf>
    <xf numFmtId="14" fontId="0" fillId="0" borderId="8" xfId="0" applyNumberFormat="1" applyBorder="1" applyAlignment="1">
      <alignment wrapText="1"/>
    </xf>
    <xf numFmtId="0" fontId="0" fillId="0" borderId="3" xfId="0" applyBorder="1" applyAlignment="1">
      <alignment wrapText="1"/>
    </xf>
    <xf numFmtId="0" fontId="0" fillId="5" borderId="0" xfId="0" applyFill="1" applyAlignment="1">
      <alignment wrapText="1"/>
    </xf>
    <xf numFmtId="3" fontId="0" fillId="5" borderId="0" xfId="0" applyNumberFormat="1" applyFill="1" applyAlignment="1">
      <alignment wrapText="1"/>
    </xf>
    <xf numFmtId="14" fontId="0" fillId="0" borderId="0" xfId="0" applyNumberFormat="1" applyAlignment="1">
      <alignment wrapText="1"/>
    </xf>
    <xf numFmtId="0" fontId="0" fillId="5" borderId="9" xfId="0" applyFill="1" applyBorder="1" applyAlignment="1">
      <alignment wrapText="1"/>
    </xf>
    <xf numFmtId="3" fontId="0" fillId="5" borderId="9" xfId="0" applyNumberFormat="1" applyFill="1" applyBorder="1" applyAlignment="1">
      <alignment wrapText="1"/>
    </xf>
    <xf numFmtId="14" fontId="0" fillId="0" borderId="9" xfId="0" applyNumberFormat="1" applyBorder="1" applyAlignment="1">
      <alignment wrapText="1"/>
    </xf>
    <xf numFmtId="3" fontId="0" fillId="0" borderId="5" xfId="0" applyNumberFormat="1" applyBorder="1"/>
    <xf numFmtId="3" fontId="0" fillId="0" borderId="7" xfId="0" applyNumberFormat="1" applyBorder="1"/>
    <xf numFmtId="14" fontId="4" fillId="2" borderId="1" xfId="0" applyNumberFormat="1" applyFont="1" applyFill="1" applyBorder="1" applyAlignment="1">
      <alignment horizontal="center" vertical="center" wrapText="1"/>
    </xf>
    <xf numFmtId="14" fontId="4" fillId="0" borderId="1" xfId="0" applyNumberFormat="1" applyFont="1" applyBorder="1" applyAlignment="1">
      <alignment horizontal="center" vertical="center" wrapText="1"/>
    </xf>
    <xf numFmtId="3" fontId="4" fillId="2" borderId="1" xfId="0" applyNumberFormat="1" applyFont="1" applyFill="1" applyBorder="1" applyAlignment="1">
      <alignment horizontal="right" vertical="center" wrapText="1"/>
    </xf>
    <xf numFmtId="3" fontId="3" fillId="0" borderId="1" xfId="0" applyNumberFormat="1" applyFont="1" applyBorder="1"/>
    <xf numFmtId="3" fontId="3" fillId="2" borderId="1" xfId="0" applyNumberFormat="1" applyFont="1" applyFill="1" applyBorder="1"/>
    <xf numFmtId="3" fontId="4" fillId="0" borderId="1" xfId="0" applyNumberFormat="1" applyFont="1" applyBorder="1" applyAlignment="1">
      <alignment horizontal="right" vertical="center" wrapText="1"/>
    </xf>
    <xf numFmtId="3" fontId="3" fillId="0" borderId="1" xfId="0" applyNumberFormat="1" applyFont="1" applyBorder="1" applyAlignment="1">
      <alignment horizontal="right"/>
    </xf>
    <xf numFmtId="3" fontId="2" fillId="0" borderId="0" xfId="0" applyNumberFormat="1" applyFont="1"/>
    <xf numFmtId="0" fontId="6" fillId="3" borderId="0" xfId="0" applyFont="1" applyFill="1" applyAlignment="1">
      <alignment horizontal="center" vertical="center"/>
    </xf>
    <xf numFmtId="0" fontId="9" fillId="7" borderId="0" xfId="0" applyFont="1" applyFill="1" applyAlignment="1">
      <alignment horizontal="left" vertical="center"/>
    </xf>
    <xf numFmtId="0" fontId="10" fillId="8" borderId="0" xfId="0" applyFont="1" applyFill="1" applyAlignment="1">
      <alignment horizontal="center" vertical="center"/>
    </xf>
    <xf numFmtId="3" fontId="10" fillId="8" borderId="0" xfId="0" applyNumberFormat="1" applyFont="1" applyFill="1" applyAlignment="1">
      <alignment horizontal="center" vertical="center"/>
    </xf>
    <xf numFmtId="0" fontId="8" fillId="6" borderId="0" xfId="0" applyFont="1" applyFill="1" applyAlignment="1">
      <alignment vertical="center" wrapText="1"/>
    </xf>
    <xf numFmtId="0" fontId="6" fillId="3" borderId="0" xfId="0" applyFont="1" applyFill="1" applyAlignment="1">
      <alignment horizontal="center" vertical="center" wrapText="1"/>
    </xf>
  </cellXfs>
  <cellStyles count="3">
    <cellStyle name="Comma [0]" xfId="1" xr:uid="{00000000-0005-0000-0000-000000000000}"/>
    <cellStyle name="Normal" xfId="0" builtinId="0"/>
    <cellStyle name="Normal 4" xfId="2" xr:uid="{00000000-0005-0000-0000-000002000000}"/>
  </cellStyles>
  <dxfs count="6">
    <dxf>
      <font>
        <b/>
        <color rgb="FF9C0006"/>
      </font>
      <fill>
        <patternFill patternType="solid">
          <bgColor rgb="FFF4CCCC"/>
        </patternFill>
      </fill>
    </dxf>
    <dxf>
      <fill>
        <patternFill patternType="solid">
          <bgColor rgb="FFD9EAD3"/>
        </patternFill>
      </fill>
    </dxf>
    <dxf>
      <fill>
        <patternFill patternType="solid">
          <bgColor rgb="FFFCE5CD"/>
        </patternFill>
      </fill>
    </dxf>
    <dxf>
      <font>
        <color rgb="FF274E13"/>
      </font>
      <fill>
        <patternFill patternType="solid">
          <bgColor rgb="FFD9EAD3"/>
        </patternFill>
      </fill>
    </dxf>
    <dxf>
      <font>
        <color rgb="FF7F6000"/>
      </font>
      <fill>
        <patternFill patternType="solid">
          <bgColor rgb="FFFCE5CD"/>
        </patternFill>
      </fill>
    </dxf>
    <dxf>
      <font>
        <color rgb="FF9C0006"/>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vi-VN"/>
              <a:t>Cơ cấu số lượt theo loại chăm lo</a:t>
            </a:r>
          </a:p>
        </c:rich>
      </c:tx>
      <c:overlay val="0"/>
    </c:title>
    <c:autoTitleDeleted val="0"/>
    <c:plotArea>
      <c:layout/>
      <c:pieChart>
        <c:varyColors val="1"/>
        <c:ser>
          <c:idx val="0"/>
          <c:order val="0"/>
          <c:tx>
            <c:v>Số lượt</c:v>
          </c:tx>
          <c:cat>
            <c:strRef>
              <c:f>DASHBOARD!$A$11:$A$17</c:f>
              <c:strCache>
                <c:ptCount val="7"/>
                <c:pt idx="0">
                  <c:v>Ốm đau/đi viện</c:v>
                </c:pt>
                <c:pt idx="1">
                  <c:v>Hiếu/viếng</c:v>
                </c:pt>
                <c:pt idx="2">
                  <c:v>Hỷ/Sinh con</c:v>
                </c:pt>
                <c:pt idx="3">
                  <c:v>Tai nạn/rủi ro</c:v>
                </c:pt>
                <c:pt idx="4">
                  <c:v>Sinh nhật</c:v>
                </c:pt>
                <c:pt idx="5">
                  <c:v>Quà đoàn viên nghỉ việc</c:v>
                </c:pt>
                <c:pt idx="6">
                  <c:v>Khác</c:v>
                </c:pt>
              </c:strCache>
            </c:strRef>
          </c:cat>
          <c:val>
            <c:numRef>
              <c:f>DASHBOARD!$B$11:$B$17</c:f>
              <c:numCache>
                <c:formatCode>General</c:formatCode>
                <c:ptCount val="7"/>
                <c:pt idx="0">
                  <c:v>24</c:v>
                </c:pt>
                <c:pt idx="1">
                  <c:v>8</c:v>
                </c:pt>
                <c:pt idx="2">
                  <c:v>6</c:v>
                </c:pt>
                <c:pt idx="3">
                  <c:v>3</c:v>
                </c:pt>
                <c:pt idx="4">
                  <c:v>6</c:v>
                </c:pt>
                <c:pt idx="5">
                  <c:v>1</c:v>
                </c:pt>
                <c:pt idx="6">
                  <c:v>0</c:v>
                </c:pt>
              </c:numCache>
            </c:numRef>
          </c:val>
          <c:extLst>
            <c:ext xmlns:c16="http://schemas.microsoft.com/office/drawing/2014/chart" uri="{C3380CC4-5D6E-409C-BE32-E72D297353CC}">
              <c16:uniqueId val="{00000000-8FF6-4AEB-8EF0-F15B6D5EF0BD}"/>
            </c:ext>
          </c:extLst>
        </c:ser>
        <c:dLbls>
          <c:showLegendKey val="0"/>
          <c:showVal val="0"/>
          <c:showCatName val="0"/>
          <c:showSerName val="0"/>
          <c:showPercent val="0"/>
          <c:showBubbleSize val="0"/>
          <c:showLeaderLines val="0"/>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Kinh phí chăm lo theo tháng năm 2026</a:t>
            </a:r>
          </a:p>
        </c:rich>
      </c:tx>
      <c:overlay val="0"/>
    </c:title>
    <c:autoTitleDeleted val="0"/>
    <c:plotArea>
      <c:layout/>
      <c:barChart>
        <c:barDir val="col"/>
        <c:grouping val="clustered"/>
        <c:varyColors val="0"/>
        <c:ser>
          <c:idx val="0"/>
          <c:order val="0"/>
          <c:tx>
            <c:v>Số lượt</c:v>
          </c:tx>
          <c:invertIfNegative val="1"/>
          <c:cat>
            <c:numRef>
              <c:f>DASHBOARD!$A$22:$A$33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DASHBOARD!$B$22:$B$33</c:f>
              <c:numCache>
                <c:formatCode>General</c:formatCode>
                <c:ptCount val="12"/>
                <c:pt idx="0">
                  <c:v>1</c:v>
                </c:pt>
                <c:pt idx="1">
                  <c:v>8</c:v>
                </c:pt>
                <c:pt idx="2">
                  <c:v>14</c:v>
                </c:pt>
                <c:pt idx="3">
                  <c:v>7</c:v>
                </c:pt>
                <c:pt idx="4">
                  <c:v>6</c:v>
                </c:pt>
                <c:pt idx="5">
                  <c:v>6</c:v>
                </c:pt>
                <c:pt idx="6">
                  <c:v>6</c:v>
                </c:pt>
                <c:pt idx="7">
                  <c:v>0</c:v>
                </c:pt>
                <c:pt idx="8">
                  <c:v>0</c:v>
                </c:pt>
                <c:pt idx="9">
                  <c:v>0</c:v>
                </c:pt>
                <c:pt idx="10">
                  <c:v>0</c:v>
                </c:pt>
                <c:pt idx="11">
                  <c:v>0</c:v>
                </c:pt>
              </c:numCache>
            </c:numRef>
          </c:val>
          <c:extLst>
            <c:ext xmlns:c16="http://schemas.microsoft.com/office/drawing/2014/chart" uri="{C3380CC4-5D6E-409C-BE32-E72D297353CC}">
              <c16:uniqueId val="{00000000-F294-4429-B77B-437E59EF77E4}"/>
            </c:ext>
          </c:extLst>
        </c:ser>
        <c:ser>
          <c:idx val="1"/>
          <c:order val="1"/>
          <c:tx>
            <c:v>Số tiền</c:v>
          </c:tx>
          <c:invertIfNegative val="1"/>
          <c:cat>
            <c:numRef>
              <c:f>DASHBOARD!$A$22:$A$33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DASHBOARD!$C$22:$C$33</c:f>
              <c:numCache>
                <c:formatCode>#,##0</c:formatCode>
                <c:ptCount val="12"/>
                <c:pt idx="0">
                  <c:v>800000</c:v>
                </c:pt>
                <c:pt idx="1">
                  <c:v>29000000</c:v>
                </c:pt>
                <c:pt idx="2">
                  <c:v>7900000</c:v>
                </c:pt>
                <c:pt idx="3">
                  <c:v>9800000</c:v>
                </c:pt>
                <c:pt idx="4">
                  <c:v>9900000</c:v>
                </c:pt>
                <c:pt idx="5">
                  <c:v>6000000</c:v>
                </c:pt>
                <c:pt idx="6">
                  <c:v>3900000</c:v>
                </c:pt>
                <c:pt idx="7">
                  <c:v>0</c:v>
                </c:pt>
                <c:pt idx="8">
                  <c:v>0</c:v>
                </c:pt>
                <c:pt idx="9">
                  <c:v>0</c:v>
                </c:pt>
                <c:pt idx="10">
                  <c:v>0</c:v>
                </c:pt>
                <c:pt idx="11">
                  <c:v>0</c:v>
                </c:pt>
              </c:numCache>
            </c:numRef>
          </c:val>
          <c:extLst>
            <c:ext xmlns:c16="http://schemas.microsoft.com/office/drawing/2014/chart" uri="{C3380CC4-5D6E-409C-BE32-E72D297353CC}">
              <c16:uniqueId val="{00000001-F294-4429-B77B-437E59EF77E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9</xdr:row>
      <xdr:rowOff>0</xdr:rowOff>
    </xdr:from>
    <xdr:to>
      <xdr:col>12</xdr:col>
      <xdr:colOff>0</xdr:colOff>
      <xdr:row>20</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20</xdr:row>
      <xdr:rowOff>0</xdr:rowOff>
    </xdr:from>
    <xdr:to>
      <xdr:col>12</xdr:col>
      <xdr:colOff>0</xdr:colOff>
      <xdr:row>36</xdr:row>
      <xdr:rowOff>0</xdr:rowOff>
    </xdr:to>
    <xdr:graphicFrame macro="">
      <xdr:nvGraphicFramePr>
        <xdr:cNvPr id="3" nam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J52"/>
  <sheetViews>
    <sheetView tabSelected="1" workbookViewId="0">
      <selection sqref="A1:XFD2"/>
    </sheetView>
  </sheetViews>
  <sheetFormatPr defaultColWidth="8.86328125" defaultRowHeight="13.9" x14ac:dyDescent="0.4"/>
  <cols>
    <col min="1" max="1" width="14.86328125" style="13" customWidth="1"/>
    <col min="2" max="2" width="43.86328125" style="1" customWidth="1"/>
    <col min="3" max="3" width="21.1328125" style="15" customWidth="1"/>
    <col min="4" max="4" width="20.86328125" style="1" customWidth="1"/>
    <col min="5" max="5" width="23.1328125" style="1" customWidth="1"/>
    <col min="6" max="6" width="10.1328125" style="1" customWidth="1"/>
    <col min="7" max="7" width="26.46484375" style="1" customWidth="1"/>
    <col min="8" max="8" width="16.46484375" style="1" customWidth="1"/>
    <col min="9" max="9" width="14.1328125" style="1" customWidth="1"/>
    <col min="10" max="16384" width="8.86328125" style="1"/>
  </cols>
  <sheetData>
    <row r="1" spans="1:10" s="4" customFormat="1" ht="13.5" x14ac:dyDescent="0.45">
      <c r="A1" s="2" t="s">
        <v>0</v>
      </c>
      <c r="B1" s="3" t="s">
        <v>1</v>
      </c>
      <c r="C1" s="14" t="s">
        <v>2</v>
      </c>
      <c r="D1" s="3" t="s">
        <v>3</v>
      </c>
      <c r="E1" s="3" t="s">
        <v>4</v>
      </c>
      <c r="F1" s="3" t="s">
        <v>5</v>
      </c>
      <c r="G1" s="3" t="s">
        <v>6</v>
      </c>
      <c r="H1" s="3" t="s">
        <v>7</v>
      </c>
      <c r="I1" s="3"/>
    </row>
    <row r="2" spans="1:10" x14ac:dyDescent="0.4">
      <c r="A2" s="56">
        <v>46048</v>
      </c>
      <c r="B2" s="5" t="s">
        <v>8</v>
      </c>
      <c r="C2" s="58">
        <v>800000</v>
      </c>
      <c r="D2" s="6"/>
      <c r="E2" s="6" t="s">
        <v>9</v>
      </c>
      <c r="F2" s="6"/>
      <c r="G2" s="6" t="s">
        <v>10</v>
      </c>
      <c r="H2" s="6"/>
      <c r="I2" s="6"/>
    </row>
    <row r="3" spans="1:10" x14ac:dyDescent="0.4">
      <c r="A3" s="56">
        <v>46055</v>
      </c>
      <c r="B3" s="5" t="s">
        <v>11</v>
      </c>
      <c r="C3" s="58">
        <v>2500000</v>
      </c>
      <c r="D3" s="6"/>
      <c r="E3" s="6"/>
      <c r="F3" s="6"/>
      <c r="G3" s="6"/>
      <c r="H3" s="6"/>
      <c r="I3" s="6"/>
    </row>
    <row r="4" spans="1:10" x14ac:dyDescent="0.4">
      <c r="A4" s="56">
        <v>46066</v>
      </c>
      <c r="B4" s="5" t="s">
        <v>12</v>
      </c>
      <c r="C4" s="58">
        <v>300000</v>
      </c>
      <c r="D4" s="6"/>
      <c r="E4" s="6" t="s">
        <v>13</v>
      </c>
      <c r="F4" s="6"/>
      <c r="G4" s="6"/>
      <c r="H4" s="6"/>
      <c r="I4" s="6"/>
    </row>
    <row r="5" spans="1:10" x14ac:dyDescent="0.4">
      <c r="A5" s="7">
        <v>46063</v>
      </c>
      <c r="B5" s="6" t="s">
        <v>14</v>
      </c>
      <c r="C5" s="59">
        <v>14100000</v>
      </c>
      <c r="D5" s="6"/>
      <c r="E5" s="6"/>
      <c r="F5" s="6"/>
      <c r="G5" s="6"/>
      <c r="H5" s="6"/>
      <c r="I5" s="6"/>
    </row>
    <row r="6" spans="1:10" x14ac:dyDescent="0.4">
      <c r="A6" s="7">
        <v>46063</v>
      </c>
      <c r="B6" s="6" t="s">
        <v>15</v>
      </c>
      <c r="C6" s="59">
        <v>9600000</v>
      </c>
      <c r="D6" s="6"/>
      <c r="E6" s="6"/>
      <c r="F6" s="6"/>
      <c r="G6" s="6"/>
      <c r="H6" s="6"/>
      <c r="I6" s="6"/>
    </row>
    <row r="7" spans="1:10" x14ac:dyDescent="0.4">
      <c r="A7" s="7">
        <v>46063</v>
      </c>
      <c r="B7" s="6" t="s">
        <v>16</v>
      </c>
      <c r="C7" s="59">
        <v>1000000</v>
      </c>
      <c r="D7" s="6" t="s">
        <v>17</v>
      </c>
      <c r="E7" s="6" t="s">
        <v>18</v>
      </c>
      <c r="F7" s="6"/>
      <c r="G7" s="6" t="s">
        <v>19</v>
      </c>
      <c r="H7" s="6" t="s">
        <v>20</v>
      </c>
      <c r="I7" s="6" t="s">
        <v>21</v>
      </c>
    </row>
    <row r="8" spans="1:10" s="10" customFormat="1" x14ac:dyDescent="0.4">
      <c r="A8" s="8">
        <v>46063</v>
      </c>
      <c r="B8" s="9" t="s">
        <v>22</v>
      </c>
      <c r="C8" s="60">
        <v>500000</v>
      </c>
      <c r="D8" s="9" t="s">
        <v>23</v>
      </c>
      <c r="E8" s="9" t="s">
        <v>23</v>
      </c>
      <c r="F8" s="9"/>
      <c r="G8" s="9" t="s">
        <v>24</v>
      </c>
      <c r="H8" s="9" t="s">
        <v>23</v>
      </c>
      <c r="I8" s="9" t="s">
        <v>25</v>
      </c>
    </row>
    <row r="9" spans="1:10" x14ac:dyDescent="0.4">
      <c r="A9" s="7">
        <v>46063</v>
      </c>
      <c r="B9" s="6" t="s">
        <v>26</v>
      </c>
      <c r="C9" s="59">
        <v>500000</v>
      </c>
      <c r="D9" s="6" t="s">
        <v>27</v>
      </c>
      <c r="E9" s="6" t="s">
        <v>28</v>
      </c>
      <c r="F9" s="6"/>
      <c r="G9" s="6" t="s">
        <v>24</v>
      </c>
      <c r="H9" s="6" t="s">
        <v>20</v>
      </c>
      <c r="I9" s="6" t="s">
        <v>21</v>
      </c>
    </row>
    <row r="10" spans="1:10" x14ac:dyDescent="0.4">
      <c r="A10" s="7">
        <v>46063</v>
      </c>
      <c r="B10" s="6" t="s">
        <v>26</v>
      </c>
      <c r="C10" s="59">
        <v>500000</v>
      </c>
      <c r="D10" s="6" t="s">
        <v>29</v>
      </c>
      <c r="E10" s="6" t="s">
        <v>30</v>
      </c>
      <c r="F10" s="6"/>
      <c r="G10" s="6" t="s">
        <v>24</v>
      </c>
      <c r="H10" s="6" t="s">
        <v>20</v>
      </c>
      <c r="I10" s="6" t="s">
        <v>21</v>
      </c>
    </row>
    <row r="11" spans="1:10" x14ac:dyDescent="0.4">
      <c r="A11" s="7">
        <v>46091</v>
      </c>
      <c r="B11" s="6" t="s">
        <v>26</v>
      </c>
      <c r="C11" s="60">
        <v>300000</v>
      </c>
      <c r="D11" s="6" t="s">
        <v>31</v>
      </c>
      <c r="E11" s="6" t="s">
        <v>32</v>
      </c>
      <c r="F11" s="6" t="s">
        <v>33</v>
      </c>
      <c r="G11" s="6" t="s">
        <v>34</v>
      </c>
      <c r="H11" s="6" t="s">
        <v>35</v>
      </c>
      <c r="I11" s="6" t="s">
        <v>36</v>
      </c>
    </row>
    <row r="12" spans="1:10" x14ac:dyDescent="0.4">
      <c r="A12" s="7">
        <v>46091</v>
      </c>
      <c r="B12" s="6" t="s">
        <v>26</v>
      </c>
      <c r="C12" s="60">
        <v>300000</v>
      </c>
      <c r="D12" s="6" t="s">
        <v>37</v>
      </c>
      <c r="E12" s="6" t="s">
        <v>38</v>
      </c>
      <c r="F12" s="6" t="s">
        <v>33</v>
      </c>
      <c r="G12" s="6" t="s">
        <v>34</v>
      </c>
      <c r="H12" s="6" t="s">
        <v>35</v>
      </c>
      <c r="I12" s="6" t="s">
        <v>36</v>
      </c>
    </row>
    <row r="13" spans="1:10" x14ac:dyDescent="0.4">
      <c r="A13" s="7">
        <v>46091</v>
      </c>
      <c r="B13" s="6" t="s">
        <v>16</v>
      </c>
      <c r="C13" s="60">
        <v>1000000</v>
      </c>
      <c r="D13" s="6" t="s">
        <v>39</v>
      </c>
      <c r="E13" s="6" t="s">
        <v>40</v>
      </c>
      <c r="F13" s="6"/>
      <c r="G13" s="6" t="s">
        <v>41</v>
      </c>
      <c r="H13" s="6" t="s">
        <v>35</v>
      </c>
      <c r="I13" s="6" t="s">
        <v>36</v>
      </c>
    </row>
    <row r="14" spans="1:10" x14ac:dyDescent="0.4">
      <c r="A14" s="7">
        <v>46091</v>
      </c>
      <c r="B14" s="6" t="s">
        <v>26</v>
      </c>
      <c r="C14" s="60">
        <v>500000</v>
      </c>
      <c r="D14" s="6" t="s">
        <v>42</v>
      </c>
      <c r="E14" s="6" t="s">
        <v>42</v>
      </c>
      <c r="F14" s="6"/>
      <c r="G14" s="9" t="s">
        <v>24</v>
      </c>
      <c r="H14" s="6" t="s">
        <v>43</v>
      </c>
      <c r="I14" s="6"/>
    </row>
    <row r="15" spans="1:10" x14ac:dyDescent="0.4">
      <c r="A15" s="7">
        <v>46091</v>
      </c>
      <c r="B15" s="6" t="s">
        <v>16</v>
      </c>
      <c r="C15" s="60">
        <v>500000</v>
      </c>
      <c r="D15" s="6" t="s">
        <v>44</v>
      </c>
      <c r="E15" s="6" t="s">
        <v>45</v>
      </c>
      <c r="F15" s="6" t="s">
        <v>46</v>
      </c>
      <c r="G15" s="6" t="s">
        <v>47</v>
      </c>
      <c r="H15" s="6" t="s">
        <v>20</v>
      </c>
      <c r="I15" s="6" t="s">
        <v>21</v>
      </c>
      <c r="J15" s="1" t="s">
        <v>48</v>
      </c>
    </row>
    <row r="16" spans="1:10" x14ac:dyDescent="0.4">
      <c r="A16" s="7">
        <v>46091</v>
      </c>
      <c r="B16" s="6" t="s">
        <v>16</v>
      </c>
      <c r="C16" s="60">
        <v>1000000</v>
      </c>
      <c r="D16" s="6" t="s">
        <v>49</v>
      </c>
      <c r="E16" s="6" t="s">
        <v>50</v>
      </c>
      <c r="F16" s="6" t="s">
        <v>51</v>
      </c>
      <c r="G16" s="6" t="s">
        <v>52</v>
      </c>
      <c r="H16" s="6" t="s">
        <v>43</v>
      </c>
      <c r="I16" s="6"/>
      <c r="J16" s="1" t="s">
        <v>53</v>
      </c>
    </row>
    <row r="17" spans="1:10" x14ac:dyDescent="0.4">
      <c r="A17" s="7">
        <v>46091</v>
      </c>
      <c r="B17" s="6" t="s">
        <v>26</v>
      </c>
      <c r="C17" s="60">
        <v>500000</v>
      </c>
      <c r="D17" s="6" t="s">
        <v>54</v>
      </c>
      <c r="E17" s="6" t="s">
        <v>55</v>
      </c>
      <c r="F17" s="6" t="s">
        <v>56</v>
      </c>
      <c r="G17" s="6" t="s">
        <v>24</v>
      </c>
      <c r="H17" s="6" t="s">
        <v>57</v>
      </c>
      <c r="I17" s="9" t="s">
        <v>25</v>
      </c>
    </row>
    <row r="18" spans="1:10" x14ac:dyDescent="0.4">
      <c r="A18" s="7">
        <v>46091</v>
      </c>
      <c r="B18" s="6" t="s">
        <v>26</v>
      </c>
      <c r="C18" s="60">
        <v>500000</v>
      </c>
      <c r="D18" s="6" t="s">
        <v>58</v>
      </c>
      <c r="E18" s="6" t="s">
        <v>58</v>
      </c>
      <c r="F18" s="6"/>
      <c r="G18" s="6" t="s">
        <v>24</v>
      </c>
      <c r="H18" s="6" t="s">
        <v>57</v>
      </c>
      <c r="I18" s="9" t="s">
        <v>25</v>
      </c>
    </row>
    <row r="19" spans="1:10" x14ac:dyDescent="0.4">
      <c r="A19" s="7">
        <v>46091</v>
      </c>
      <c r="B19" s="6" t="s">
        <v>26</v>
      </c>
      <c r="C19" s="60">
        <v>500000</v>
      </c>
      <c r="D19" s="6" t="s">
        <v>59</v>
      </c>
      <c r="E19" s="6" t="s">
        <v>60</v>
      </c>
      <c r="F19" s="6"/>
      <c r="G19" s="6" t="s">
        <v>24</v>
      </c>
      <c r="H19" s="6" t="s">
        <v>57</v>
      </c>
      <c r="I19" s="9" t="s">
        <v>25</v>
      </c>
    </row>
    <row r="20" spans="1:10" x14ac:dyDescent="0.4">
      <c r="A20" s="7">
        <v>46091</v>
      </c>
      <c r="B20" s="6" t="s">
        <v>26</v>
      </c>
      <c r="C20" s="60">
        <v>300000</v>
      </c>
      <c r="D20" s="6" t="s">
        <v>61</v>
      </c>
      <c r="E20" s="6" t="s">
        <v>62</v>
      </c>
      <c r="F20" s="6" t="s">
        <v>33</v>
      </c>
      <c r="G20" s="6" t="s">
        <v>34</v>
      </c>
      <c r="H20" s="6" t="s">
        <v>35</v>
      </c>
      <c r="I20" s="6" t="s">
        <v>36</v>
      </c>
    </row>
    <row r="21" spans="1:10" x14ac:dyDescent="0.4">
      <c r="A21" s="7">
        <v>46104</v>
      </c>
      <c r="B21" s="6" t="s">
        <v>26</v>
      </c>
      <c r="C21" s="59">
        <v>500000</v>
      </c>
      <c r="D21" s="6" t="s">
        <v>63</v>
      </c>
      <c r="E21" s="6" t="s">
        <v>64</v>
      </c>
      <c r="F21" s="6" t="s">
        <v>65</v>
      </c>
      <c r="G21" s="6" t="s">
        <v>24</v>
      </c>
      <c r="H21" s="6" t="s">
        <v>35</v>
      </c>
      <c r="I21" s="6" t="s">
        <v>36</v>
      </c>
    </row>
    <row r="22" spans="1:10" x14ac:dyDescent="0.4">
      <c r="A22" s="7">
        <v>46104</v>
      </c>
      <c r="B22" s="6" t="s">
        <v>16</v>
      </c>
      <c r="C22" s="59">
        <v>1000000</v>
      </c>
      <c r="D22" s="6" t="s">
        <v>66</v>
      </c>
      <c r="E22" s="6" t="s">
        <v>67</v>
      </c>
      <c r="F22" s="6" t="s">
        <v>46</v>
      </c>
      <c r="G22" s="6" t="s">
        <v>68</v>
      </c>
      <c r="H22" s="6" t="s">
        <v>35</v>
      </c>
      <c r="I22" s="6" t="s">
        <v>36</v>
      </c>
      <c r="J22" s="1" t="s">
        <v>69</v>
      </c>
    </row>
    <row r="23" spans="1:10" s="10" customFormat="1" x14ac:dyDescent="0.4">
      <c r="A23" s="8">
        <v>46104</v>
      </c>
      <c r="B23" s="9" t="s">
        <v>26</v>
      </c>
      <c r="C23" s="60">
        <v>500000</v>
      </c>
      <c r="D23" s="9" t="s">
        <v>70</v>
      </c>
      <c r="E23" s="9" t="s">
        <v>71</v>
      </c>
      <c r="F23" s="9" t="s">
        <v>72</v>
      </c>
      <c r="G23" s="9" t="s">
        <v>24</v>
      </c>
      <c r="H23" s="9" t="s">
        <v>57</v>
      </c>
      <c r="I23" s="9" t="s">
        <v>25</v>
      </c>
    </row>
    <row r="24" spans="1:10" x14ac:dyDescent="0.4">
      <c r="A24" s="7">
        <v>46104</v>
      </c>
      <c r="B24" s="6" t="s">
        <v>26</v>
      </c>
      <c r="C24" s="59">
        <v>500000</v>
      </c>
      <c r="D24" s="6" t="s">
        <v>73</v>
      </c>
      <c r="E24" s="6" t="s">
        <v>74</v>
      </c>
      <c r="F24" s="6"/>
      <c r="G24" s="6" t="s">
        <v>24</v>
      </c>
      <c r="H24" s="6" t="s">
        <v>57</v>
      </c>
      <c r="I24" s="9" t="s">
        <v>25</v>
      </c>
    </row>
    <row r="25" spans="1:10" x14ac:dyDescent="0.4">
      <c r="A25" s="7">
        <v>46119</v>
      </c>
      <c r="B25" s="6" t="s">
        <v>26</v>
      </c>
      <c r="C25" s="59">
        <v>500000</v>
      </c>
      <c r="D25" s="11" t="s">
        <v>75</v>
      </c>
      <c r="E25" s="11" t="s">
        <v>76</v>
      </c>
      <c r="F25" s="6" t="s">
        <v>77</v>
      </c>
      <c r="G25" s="6" t="s">
        <v>24</v>
      </c>
      <c r="H25" s="6" t="s">
        <v>57</v>
      </c>
      <c r="I25" s="9" t="s">
        <v>25</v>
      </c>
    </row>
    <row r="26" spans="1:10" x14ac:dyDescent="0.4">
      <c r="A26" s="7">
        <v>46119</v>
      </c>
      <c r="B26" s="6" t="s">
        <v>26</v>
      </c>
      <c r="C26" s="59">
        <v>500000</v>
      </c>
      <c r="D26" s="6" t="s">
        <v>78</v>
      </c>
      <c r="E26" s="11" t="s">
        <v>79</v>
      </c>
      <c r="F26" s="6" t="s">
        <v>80</v>
      </c>
      <c r="G26" s="6" t="s">
        <v>24</v>
      </c>
      <c r="H26" s="6" t="s">
        <v>35</v>
      </c>
      <c r="I26" s="6" t="s">
        <v>36</v>
      </c>
    </row>
    <row r="27" spans="1:10" x14ac:dyDescent="0.4">
      <c r="A27" s="7">
        <v>46126</v>
      </c>
      <c r="B27" s="6" t="s">
        <v>81</v>
      </c>
      <c r="C27" s="59">
        <v>4500000</v>
      </c>
      <c r="D27" s="6"/>
      <c r="E27" s="6"/>
      <c r="F27" s="6"/>
      <c r="G27" s="6"/>
      <c r="H27" s="6"/>
      <c r="I27" s="6"/>
    </row>
    <row r="28" spans="1:10" x14ac:dyDescent="0.4">
      <c r="A28" s="7">
        <v>46126</v>
      </c>
      <c r="B28" s="6" t="s">
        <v>82</v>
      </c>
      <c r="C28" s="59">
        <v>300000</v>
      </c>
      <c r="D28" s="6" t="s">
        <v>83</v>
      </c>
      <c r="E28" s="6" t="s">
        <v>83</v>
      </c>
      <c r="F28" s="6" t="s">
        <v>84</v>
      </c>
      <c r="G28" s="6" t="s">
        <v>24</v>
      </c>
      <c r="H28" s="6" t="s">
        <v>57</v>
      </c>
      <c r="I28" s="9" t="s">
        <v>25</v>
      </c>
    </row>
    <row r="29" spans="1:10" x14ac:dyDescent="0.4">
      <c r="A29" s="7">
        <v>46128</v>
      </c>
      <c r="B29" s="6" t="s">
        <v>82</v>
      </c>
      <c r="C29" s="59">
        <v>300000</v>
      </c>
      <c r="D29" s="6" t="s">
        <v>85</v>
      </c>
      <c r="E29" s="11" t="s">
        <v>86</v>
      </c>
      <c r="F29" s="6" t="s">
        <v>80</v>
      </c>
      <c r="G29" s="6" t="s">
        <v>24</v>
      </c>
      <c r="H29" s="6" t="s">
        <v>35</v>
      </c>
      <c r="I29" s="6" t="s">
        <v>36</v>
      </c>
    </row>
    <row r="30" spans="1:10" x14ac:dyDescent="0.4">
      <c r="A30" s="7">
        <v>46128</v>
      </c>
      <c r="B30" s="6" t="s">
        <v>82</v>
      </c>
      <c r="C30" s="59">
        <v>300000</v>
      </c>
      <c r="D30" s="6" t="s">
        <v>87</v>
      </c>
      <c r="E30" s="11" t="s">
        <v>88</v>
      </c>
      <c r="F30" s="6" t="s">
        <v>51</v>
      </c>
      <c r="G30" s="6" t="s">
        <v>24</v>
      </c>
      <c r="H30" s="6" t="s">
        <v>20</v>
      </c>
      <c r="I30" s="6" t="s">
        <v>21</v>
      </c>
    </row>
    <row r="31" spans="1:10" x14ac:dyDescent="0.4">
      <c r="A31" s="57">
        <v>46134</v>
      </c>
      <c r="B31" s="12" t="s">
        <v>89</v>
      </c>
      <c r="C31" s="61">
        <v>3400000</v>
      </c>
      <c r="D31" s="6"/>
      <c r="E31" s="6"/>
      <c r="F31" s="6"/>
      <c r="G31" s="6"/>
      <c r="H31" s="6"/>
      <c r="I31" s="6"/>
    </row>
    <row r="32" spans="1:10" x14ac:dyDescent="0.4">
      <c r="A32" s="57">
        <v>46149</v>
      </c>
      <c r="B32" s="6" t="s">
        <v>16</v>
      </c>
      <c r="C32" s="59">
        <v>1000000</v>
      </c>
      <c r="D32" s="11" t="s">
        <v>90</v>
      </c>
      <c r="E32" s="11" t="s">
        <v>91</v>
      </c>
      <c r="F32" s="6" t="s">
        <v>77</v>
      </c>
      <c r="G32" s="6" t="s">
        <v>92</v>
      </c>
      <c r="H32" s="6" t="s">
        <v>57</v>
      </c>
      <c r="I32" s="9" t="s">
        <v>25</v>
      </c>
    </row>
    <row r="33" spans="1:9" x14ac:dyDescent="0.4">
      <c r="A33" s="57">
        <v>46149</v>
      </c>
      <c r="B33" s="6" t="s">
        <v>82</v>
      </c>
      <c r="C33" s="59">
        <v>300000</v>
      </c>
      <c r="D33" s="11" t="s">
        <v>93</v>
      </c>
      <c r="E33" s="11" t="s">
        <v>94</v>
      </c>
      <c r="F33" s="6" t="s">
        <v>80</v>
      </c>
      <c r="G33" s="6" t="s">
        <v>24</v>
      </c>
      <c r="H33" s="6" t="s">
        <v>35</v>
      </c>
      <c r="I33" s="6" t="s">
        <v>36</v>
      </c>
    </row>
    <row r="34" spans="1:9" ht="27.75" x14ac:dyDescent="0.4">
      <c r="A34" s="57">
        <v>46154</v>
      </c>
      <c r="B34" s="12" t="s">
        <v>95</v>
      </c>
      <c r="C34" s="61">
        <v>7000000</v>
      </c>
      <c r="D34" s="6"/>
      <c r="E34" s="6"/>
      <c r="F34" s="6"/>
      <c r="G34" s="6"/>
      <c r="H34" s="6"/>
      <c r="I34" s="6"/>
    </row>
    <row r="35" spans="1:9" x14ac:dyDescent="0.4">
      <c r="A35" s="57">
        <v>46154</v>
      </c>
      <c r="B35" s="6" t="s">
        <v>82</v>
      </c>
      <c r="C35" s="59">
        <v>300000</v>
      </c>
      <c r="D35" s="11" t="s">
        <v>86</v>
      </c>
      <c r="E35" s="11" t="s">
        <v>86</v>
      </c>
      <c r="F35" s="6"/>
      <c r="G35" s="6" t="s">
        <v>24</v>
      </c>
      <c r="H35" s="6" t="s">
        <v>35</v>
      </c>
      <c r="I35" s="6" t="s">
        <v>36</v>
      </c>
    </row>
    <row r="36" spans="1:9" x14ac:dyDescent="0.4">
      <c r="A36" s="57">
        <v>46154</v>
      </c>
      <c r="B36" s="6" t="s">
        <v>82</v>
      </c>
      <c r="C36" s="59">
        <v>300000</v>
      </c>
      <c r="D36" s="11" t="s">
        <v>96</v>
      </c>
      <c r="E36" s="11" t="s">
        <v>96</v>
      </c>
      <c r="F36" s="6"/>
      <c r="G36" s="6" t="s">
        <v>24</v>
      </c>
      <c r="H36" s="6" t="s">
        <v>57</v>
      </c>
      <c r="I36" s="9" t="s">
        <v>25</v>
      </c>
    </row>
    <row r="37" spans="1:9" x14ac:dyDescent="0.4">
      <c r="A37" s="7">
        <v>46163</v>
      </c>
      <c r="B37" s="6" t="s">
        <v>16</v>
      </c>
      <c r="C37" s="59">
        <v>1000000</v>
      </c>
      <c r="D37" s="11" t="s">
        <v>97</v>
      </c>
      <c r="E37" s="11" t="s">
        <v>98</v>
      </c>
      <c r="F37" s="6" t="s">
        <v>77</v>
      </c>
      <c r="G37" s="6" t="s">
        <v>92</v>
      </c>
      <c r="H37" s="6" t="s">
        <v>20</v>
      </c>
      <c r="I37" s="6" t="s">
        <v>21</v>
      </c>
    </row>
    <row r="38" spans="1:9" x14ac:dyDescent="0.4">
      <c r="A38" s="7">
        <v>46182</v>
      </c>
      <c r="B38" s="12" t="s">
        <v>99</v>
      </c>
      <c r="C38" s="61">
        <v>2800000</v>
      </c>
      <c r="D38" s="6"/>
      <c r="E38" s="6"/>
      <c r="F38" s="6"/>
      <c r="G38" s="6"/>
      <c r="H38" s="6"/>
      <c r="I38" s="6"/>
    </row>
    <row r="39" spans="1:9" x14ac:dyDescent="0.4">
      <c r="A39" s="7">
        <v>46182</v>
      </c>
      <c r="B39" s="6" t="s">
        <v>82</v>
      </c>
      <c r="C39" s="62">
        <v>300000</v>
      </c>
      <c r="D39" s="6" t="s">
        <v>100</v>
      </c>
      <c r="E39" s="11" t="s">
        <v>101</v>
      </c>
      <c r="F39" s="6" t="s">
        <v>80</v>
      </c>
      <c r="G39" s="6" t="s">
        <v>34</v>
      </c>
      <c r="H39" s="6" t="s">
        <v>35</v>
      </c>
      <c r="I39" s="6" t="s">
        <v>36</v>
      </c>
    </row>
    <row r="40" spans="1:9" x14ac:dyDescent="0.4">
      <c r="A40" s="7">
        <v>46182</v>
      </c>
      <c r="B40" s="6" t="s">
        <v>82</v>
      </c>
      <c r="C40" s="62">
        <v>300000</v>
      </c>
      <c r="D40" s="11" t="s">
        <v>102</v>
      </c>
      <c r="E40" s="11" t="s">
        <v>102</v>
      </c>
      <c r="F40" s="6"/>
      <c r="G40" s="6" t="s">
        <v>103</v>
      </c>
      <c r="H40" s="6" t="s">
        <v>20</v>
      </c>
      <c r="I40" s="6" t="s">
        <v>21</v>
      </c>
    </row>
    <row r="41" spans="1:9" ht="41.65" x14ac:dyDescent="0.4">
      <c r="A41" s="7">
        <v>46182</v>
      </c>
      <c r="B41" s="12" t="s">
        <v>104</v>
      </c>
      <c r="C41" s="62">
        <v>2000000</v>
      </c>
      <c r="D41" s="6"/>
      <c r="E41" s="6"/>
      <c r="F41" s="6"/>
      <c r="G41" s="6"/>
      <c r="H41" s="6"/>
      <c r="I41" s="6"/>
    </row>
    <row r="42" spans="1:9" x14ac:dyDescent="0.4">
      <c r="A42" s="57">
        <v>46191</v>
      </c>
      <c r="B42" s="6" t="s">
        <v>82</v>
      </c>
      <c r="C42" s="62">
        <v>300000</v>
      </c>
      <c r="D42" s="11" t="s">
        <v>105</v>
      </c>
      <c r="E42" s="11" t="s">
        <v>105</v>
      </c>
      <c r="F42" s="6"/>
      <c r="G42" s="6" t="s">
        <v>24</v>
      </c>
      <c r="H42" s="6" t="s">
        <v>57</v>
      </c>
      <c r="I42" s="9" t="s">
        <v>25</v>
      </c>
    </row>
    <row r="43" spans="1:9" x14ac:dyDescent="0.4">
      <c r="A43" s="57">
        <v>46191</v>
      </c>
      <c r="B43" s="6" t="s">
        <v>82</v>
      </c>
      <c r="C43" s="62">
        <v>300000</v>
      </c>
      <c r="D43" s="11" t="s">
        <v>106</v>
      </c>
      <c r="E43" s="11" t="s">
        <v>106</v>
      </c>
      <c r="F43" s="6"/>
      <c r="G43" s="6" t="s">
        <v>24</v>
      </c>
      <c r="H43" s="6" t="s">
        <v>35</v>
      </c>
      <c r="I43" s="6" t="s">
        <v>36</v>
      </c>
    </row>
    <row r="44" spans="1:9" x14ac:dyDescent="0.4">
      <c r="A44" s="7">
        <v>46209</v>
      </c>
      <c r="B44" s="12" t="s">
        <v>107</v>
      </c>
      <c r="C44" s="61">
        <v>2400000</v>
      </c>
      <c r="D44" s="6"/>
      <c r="E44" s="6"/>
      <c r="F44" s="6"/>
      <c r="G44" s="6"/>
      <c r="H44" s="6"/>
      <c r="I44" s="9"/>
    </row>
    <row r="45" spans="1:9" x14ac:dyDescent="0.4">
      <c r="A45" s="7">
        <v>46209</v>
      </c>
      <c r="B45" s="6" t="s">
        <v>82</v>
      </c>
      <c r="C45" s="59">
        <v>300000</v>
      </c>
      <c r="D45" s="11" t="s">
        <v>108</v>
      </c>
      <c r="E45" s="11" t="s">
        <v>109</v>
      </c>
      <c r="F45" s="6" t="s">
        <v>80</v>
      </c>
      <c r="G45" s="6" t="s">
        <v>34</v>
      </c>
      <c r="H45" s="6" t="s">
        <v>20</v>
      </c>
      <c r="I45" s="6" t="s">
        <v>21</v>
      </c>
    </row>
    <row r="46" spans="1:9" x14ac:dyDescent="0.4">
      <c r="A46" s="7">
        <v>46209</v>
      </c>
      <c r="B46" s="6" t="s">
        <v>82</v>
      </c>
      <c r="C46" s="59">
        <v>300000</v>
      </c>
      <c r="D46" s="6" t="s">
        <v>110</v>
      </c>
      <c r="E46" s="11" t="s">
        <v>111</v>
      </c>
      <c r="F46" s="6" t="s">
        <v>112</v>
      </c>
      <c r="G46" s="6" t="s">
        <v>24</v>
      </c>
      <c r="H46" s="6" t="s">
        <v>35</v>
      </c>
      <c r="I46" s="6" t="s">
        <v>36</v>
      </c>
    </row>
    <row r="47" spans="1:9" x14ac:dyDescent="0.4">
      <c r="A47" s="7">
        <v>46209</v>
      </c>
      <c r="B47" s="6" t="s">
        <v>82</v>
      </c>
      <c r="C47" s="59">
        <v>300000</v>
      </c>
      <c r="D47" s="11" t="s">
        <v>113</v>
      </c>
      <c r="E47" s="11" t="s">
        <v>113</v>
      </c>
      <c r="F47" s="6"/>
      <c r="G47" s="6" t="s">
        <v>24</v>
      </c>
      <c r="H47" s="6" t="s">
        <v>35</v>
      </c>
      <c r="I47" s="6" t="s">
        <v>36</v>
      </c>
    </row>
    <row r="48" spans="1:9" x14ac:dyDescent="0.4">
      <c r="A48" s="7">
        <v>46220</v>
      </c>
      <c r="B48" s="6" t="s">
        <v>82</v>
      </c>
      <c r="C48" s="59">
        <v>300000</v>
      </c>
      <c r="D48" s="11" t="s">
        <v>114</v>
      </c>
      <c r="E48" s="11" t="s">
        <v>114</v>
      </c>
      <c r="F48" s="6"/>
      <c r="G48" s="6" t="s">
        <v>24</v>
      </c>
      <c r="H48" s="6" t="s">
        <v>57</v>
      </c>
      <c r="I48" s="9" t="s">
        <v>25</v>
      </c>
    </row>
    <row r="49" spans="1:9" x14ac:dyDescent="0.4">
      <c r="A49" s="7">
        <v>46220</v>
      </c>
      <c r="B49" s="6" t="s">
        <v>82</v>
      </c>
      <c r="C49" s="59">
        <v>300000</v>
      </c>
      <c r="D49" s="11" t="s">
        <v>115</v>
      </c>
      <c r="E49" s="11" t="s">
        <v>115</v>
      </c>
      <c r="F49" s="6"/>
      <c r="G49" s="6" t="s">
        <v>24</v>
      </c>
      <c r="H49" s="6" t="s">
        <v>35</v>
      </c>
      <c r="I49" s="6" t="s">
        <v>36</v>
      </c>
    </row>
    <row r="50" spans="1:9" ht="14.25" x14ac:dyDescent="0.45">
      <c r="C50" s="28"/>
    </row>
    <row r="51" spans="1:9" ht="14.25" x14ac:dyDescent="0.45">
      <c r="C51" s="28"/>
    </row>
    <row r="52" spans="1:9" x14ac:dyDescent="0.4">
      <c r="C52" s="63">
        <f>SUM(C2:C51)</f>
        <v>67300000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workbookViewId="0">
      <selection activeCell="B9" sqref="B9"/>
    </sheetView>
  </sheetViews>
  <sheetFormatPr defaultRowHeight="14.25" x14ac:dyDescent="0.45"/>
  <cols>
    <col min="1" max="1" width="20" customWidth="1"/>
    <col min="2" max="2" width="85" customWidth="1"/>
  </cols>
  <sheetData>
    <row r="1" spans="1:8" x14ac:dyDescent="0.45">
      <c r="A1" s="69" t="s">
        <v>325</v>
      </c>
      <c r="B1" s="64"/>
      <c r="C1" s="64"/>
      <c r="D1" s="64"/>
      <c r="E1" s="64"/>
      <c r="F1" s="64"/>
      <c r="G1" s="64"/>
      <c r="H1" s="64"/>
    </row>
    <row r="2" spans="1:8" x14ac:dyDescent="0.45">
      <c r="A2" s="64"/>
      <c r="B2" s="64"/>
      <c r="C2" s="64"/>
      <c r="D2" s="64"/>
      <c r="E2" s="64"/>
      <c r="F2" s="64"/>
      <c r="G2" s="64"/>
      <c r="H2" s="64"/>
    </row>
    <row r="4" spans="1:8" x14ac:dyDescent="0.45">
      <c r="A4" s="18" t="s">
        <v>116</v>
      </c>
      <c r="B4" s="19" t="s">
        <v>117</v>
      </c>
    </row>
    <row r="5" spans="1:8" ht="28.5" x14ac:dyDescent="0.45">
      <c r="A5" s="20" t="s">
        <v>118</v>
      </c>
      <c r="B5" s="21" t="s">
        <v>119</v>
      </c>
    </row>
    <row r="6" spans="1:8" x14ac:dyDescent="0.45">
      <c r="A6" s="20" t="s">
        <v>120</v>
      </c>
      <c r="B6" s="21" t="s">
        <v>121</v>
      </c>
    </row>
    <row r="7" spans="1:8" ht="28.5" x14ac:dyDescent="0.45">
      <c r="A7" s="20" t="s">
        <v>122</v>
      </c>
      <c r="B7" s="21" t="s">
        <v>123</v>
      </c>
    </row>
    <row r="8" spans="1:8" x14ac:dyDescent="0.45">
      <c r="A8" s="20" t="s">
        <v>124</v>
      </c>
      <c r="B8" s="21" t="s">
        <v>125</v>
      </c>
    </row>
    <row r="9" spans="1:8" ht="28.5" x14ac:dyDescent="0.45">
      <c r="A9" s="20" t="s">
        <v>126</v>
      </c>
      <c r="B9" s="21" t="s">
        <v>127</v>
      </c>
    </row>
    <row r="10" spans="1:8" ht="28.5" x14ac:dyDescent="0.45">
      <c r="A10" s="20" t="s">
        <v>128</v>
      </c>
      <c r="B10" s="21" t="s">
        <v>129</v>
      </c>
    </row>
    <row r="11" spans="1:8" ht="28.5" x14ac:dyDescent="0.45">
      <c r="A11" s="22" t="s">
        <v>130</v>
      </c>
      <c r="B11" s="23" t="s">
        <v>131</v>
      </c>
    </row>
  </sheetData>
  <mergeCells count="1">
    <mergeCell ref="A1: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9"/>
  <sheetViews>
    <sheetView workbookViewId="0">
      <selection activeCell="S1" sqref="A1:XFD3"/>
    </sheetView>
  </sheetViews>
  <sheetFormatPr defaultRowHeight="14.25" x14ac:dyDescent="0.45"/>
  <cols>
    <col min="1" max="2" width="13" customWidth="1"/>
    <col min="3" max="4" width="8" customWidth="1"/>
    <col min="5" max="5" width="38" customWidth="1"/>
    <col min="6" max="6" width="22" customWidth="1"/>
    <col min="7" max="7" width="16" customWidth="1"/>
    <col min="8" max="9" width="24" customWidth="1"/>
    <col min="10" max="10" width="14" customWidth="1"/>
    <col min="11" max="11" width="28" customWidth="1"/>
    <col min="12" max="12" width="20" customWidth="1"/>
    <col min="13" max="13" width="14" customWidth="1"/>
    <col min="14" max="14" width="20" customWidth="1"/>
    <col min="15" max="15" width="18" customWidth="1"/>
    <col min="16" max="16" width="15" customWidth="1"/>
    <col min="17" max="17" width="14" customWidth="1"/>
    <col min="18" max="18" width="18" customWidth="1"/>
  </cols>
  <sheetData>
    <row r="1" spans="1:18" x14ac:dyDescent="0.45">
      <c r="A1" s="18" t="s">
        <v>132</v>
      </c>
      <c r="B1" s="24" t="s">
        <v>133</v>
      </c>
      <c r="C1" s="24" t="s">
        <v>134</v>
      </c>
      <c r="D1" s="24" t="s">
        <v>135</v>
      </c>
      <c r="E1" s="24" t="s">
        <v>1</v>
      </c>
      <c r="F1" s="24" t="s">
        <v>136</v>
      </c>
      <c r="G1" s="24" t="s">
        <v>137</v>
      </c>
      <c r="H1" s="24" t="s">
        <v>138</v>
      </c>
      <c r="I1" s="24" t="s">
        <v>139</v>
      </c>
      <c r="J1" s="24" t="s">
        <v>140</v>
      </c>
      <c r="K1" s="24" t="s">
        <v>6</v>
      </c>
      <c r="L1" s="24" t="s">
        <v>141</v>
      </c>
      <c r="M1" s="24" t="s">
        <v>142</v>
      </c>
      <c r="N1" s="24" t="s">
        <v>143</v>
      </c>
      <c r="O1" s="24" t="s">
        <v>144</v>
      </c>
      <c r="P1" s="24" t="s">
        <v>145</v>
      </c>
      <c r="Q1" s="24" t="s">
        <v>146</v>
      </c>
      <c r="R1" s="19" t="s">
        <v>147</v>
      </c>
    </row>
    <row r="2" spans="1:18" ht="28.5" x14ac:dyDescent="0.45">
      <c r="A2" s="30" t="s">
        <v>148</v>
      </c>
      <c r="B2" s="29">
        <v>46048</v>
      </c>
      <c r="C2">
        <f t="shared" ref="C2:C49" si="0">YEAR(B2)</f>
        <v>2026</v>
      </c>
      <c r="D2">
        <f t="shared" ref="D2:D49" si="1">MONTH(B2)</f>
        <v>1</v>
      </c>
      <c r="E2" s="17" t="s">
        <v>8</v>
      </c>
      <c r="F2" s="17" t="s">
        <v>149</v>
      </c>
      <c r="G2" s="26">
        <v>800000</v>
      </c>
      <c r="H2" s="17"/>
      <c r="I2" s="17" t="s">
        <v>9</v>
      </c>
      <c r="J2" s="17"/>
      <c r="K2" s="17" t="s">
        <v>92</v>
      </c>
      <c r="L2" s="17"/>
      <c r="M2" s="17"/>
      <c r="N2" s="17"/>
      <c r="O2" t="s">
        <v>150</v>
      </c>
      <c r="P2" s="29">
        <v>46048</v>
      </c>
      <c r="Q2">
        <f t="shared" ref="Q2:Q49" si="2">IF(OR(B2="",P2=""),"",P2-B2)</f>
        <v>0</v>
      </c>
      <c r="R2" s="31" t="str">
        <f t="shared" ref="R2:R49" si="3">IF(O2&lt;&gt;"Đã hoàn thành","Chưa hoàn thành",IF(Q2&gt;5,"Xử lý chậm","Đúng hạn"))</f>
        <v>Đúng hạn</v>
      </c>
    </row>
    <row r="3" spans="1:18" ht="28.5" x14ac:dyDescent="0.45">
      <c r="A3" s="30" t="s">
        <v>151</v>
      </c>
      <c r="B3" s="29">
        <v>46055</v>
      </c>
      <c r="C3">
        <f t="shared" si="0"/>
        <v>2026</v>
      </c>
      <c r="D3">
        <f t="shared" si="1"/>
        <v>2</v>
      </c>
      <c r="E3" s="17" t="s">
        <v>11</v>
      </c>
      <c r="F3" s="17" t="s">
        <v>152</v>
      </c>
      <c r="G3" s="26">
        <v>2500000</v>
      </c>
      <c r="H3" s="17"/>
      <c r="I3" s="17"/>
      <c r="J3" s="17"/>
      <c r="K3" s="17"/>
      <c r="L3" s="17"/>
      <c r="M3" s="17"/>
      <c r="N3" s="17"/>
      <c r="O3" t="s">
        <v>150</v>
      </c>
      <c r="P3" s="29">
        <v>46055</v>
      </c>
      <c r="Q3">
        <f t="shared" si="2"/>
        <v>0</v>
      </c>
      <c r="R3" s="31" t="str">
        <f t="shared" si="3"/>
        <v>Đúng hạn</v>
      </c>
    </row>
    <row r="4" spans="1:18" ht="28.5" x14ac:dyDescent="0.45">
      <c r="A4" s="30" t="s">
        <v>153</v>
      </c>
      <c r="B4" s="29">
        <v>46066</v>
      </c>
      <c r="C4">
        <f t="shared" si="0"/>
        <v>2026</v>
      </c>
      <c r="D4">
        <f t="shared" si="1"/>
        <v>2</v>
      </c>
      <c r="E4" s="17" t="s">
        <v>12</v>
      </c>
      <c r="F4" s="17" t="s">
        <v>154</v>
      </c>
      <c r="G4" s="26">
        <v>300000</v>
      </c>
      <c r="H4" s="17"/>
      <c r="I4" s="17" t="s">
        <v>155</v>
      </c>
      <c r="J4" s="17"/>
      <c r="K4" s="17"/>
      <c r="L4" s="17"/>
      <c r="M4" s="17"/>
      <c r="N4" s="17"/>
      <c r="O4" t="s">
        <v>150</v>
      </c>
      <c r="P4" s="29">
        <v>46066</v>
      </c>
      <c r="Q4">
        <f t="shared" si="2"/>
        <v>0</v>
      </c>
      <c r="R4" s="31" t="str">
        <f t="shared" si="3"/>
        <v>Đúng hạn</v>
      </c>
    </row>
    <row r="5" spans="1:18" x14ac:dyDescent="0.45">
      <c r="A5" s="30" t="s">
        <v>156</v>
      </c>
      <c r="B5" s="29">
        <v>46063</v>
      </c>
      <c r="C5">
        <f t="shared" si="0"/>
        <v>2026</v>
      </c>
      <c r="D5">
        <f t="shared" si="1"/>
        <v>2</v>
      </c>
      <c r="E5" s="17" t="s">
        <v>14</v>
      </c>
      <c r="F5" s="17" t="s">
        <v>157</v>
      </c>
      <c r="G5" s="26">
        <v>14100000</v>
      </c>
      <c r="H5" s="17"/>
      <c r="I5" s="17"/>
      <c r="J5" s="17"/>
      <c r="K5" s="17"/>
      <c r="L5" s="17"/>
      <c r="M5" s="17"/>
      <c r="N5" s="17"/>
      <c r="O5" t="s">
        <v>150</v>
      </c>
      <c r="P5" s="29">
        <v>46063</v>
      </c>
      <c r="Q5">
        <f t="shared" si="2"/>
        <v>0</v>
      </c>
      <c r="R5" s="31" t="str">
        <f t="shared" si="3"/>
        <v>Đúng hạn</v>
      </c>
    </row>
    <row r="6" spans="1:18" ht="28.5" x14ac:dyDescent="0.45">
      <c r="A6" s="30" t="s">
        <v>158</v>
      </c>
      <c r="B6" s="29">
        <v>46063</v>
      </c>
      <c r="C6">
        <f t="shared" si="0"/>
        <v>2026</v>
      </c>
      <c r="D6">
        <f t="shared" si="1"/>
        <v>2</v>
      </c>
      <c r="E6" s="17" t="s">
        <v>15</v>
      </c>
      <c r="F6" s="17" t="s">
        <v>157</v>
      </c>
      <c r="G6" s="26">
        <v>9600000</v>
      </c>
      <c r="H6" s="17"/>
      <c r="I6" s="17"/>
      <c r="J6" s="17"/>
      <c r="K6" s="17"/>
      <c r="L6" s="17"/>
      <c r="M6" s="17"/>
      <c r="N6" s="17"/>
      <c r="O6" t="s">
        <v>150</v>
      </c>
      <c r="P6" s="29">
        <v>46063</v>
      </c>
      <c r="Q6">
        <f t="shared" si="2"/>
        <v>0</v>
      </c>
      <c r="R6" s="31" t="str">
        <f t="shared" si="3"/>
        <v>Đúng hạn</v>
      </c>
    </row>
    <row r="7" spans="1:18" x14ac:dyDescent="0.45">
      <c r="A7" s="30" t="s">
        <v>159</v>
      </c>
      <c r="B7" s="29">
        <v>46063</v>
      </c>
      <c r="C7">
        <f t="shared" si="0"/>
        <v>2026</v>
      </c>
      <c r="D7">
        <f t="shared" si="1"/>
        <v>2</v>
      </c>
      <c r="E7" s="17" t="s">
        <v>160</v>
      </c>
      <c r="F7" s="17" t="s">
        <v>149</v>
      </c>
      <c r="G7" s="26">
        <v>1000000</v>
      </c>
      <c r="H7" s="17" t="s">
        <v>17</v>
      </c>
      <c r="I7" s="17" t="s">
        <v>18</v>
      </c>
      <c r="J7" s="17"/>
      <c r="K7" s="17" t="s">
        <v>19</v>
      </c>
      <c r="L7" s="17" t="s">
        <v>161</v>
      </c>
      <c r="M7" s="17" t="s">
        <v>21</v>
      </c>
      <c r="N7" s="17"/>
      <c r="O7" t="s">
        <v>150</v>
      </c>
      <c r="P7" s="29">
        <v>46063</v>
      </c>
      <c r="Q7">
        <f t="shared" si="2"/>
        <v>0</v>
      </c>
      <c r="R7" s="31" t="str">
        <f t="shared" si="3"/>
        <v>Đúng hạn</v>
      </c>
    </row>
    <row r="8" spans="1:18" x14ac:dyDescent="0.45">
      <c r="A8" s="30" t="s">
        <v>162</v>
      </c>
      <c r="B8" s="29">
        <v>46063</v>
      </c>
      <c r="C8">
        <f t="shared" si="0"/>
        <v>2026</v>
      </c>
      <c r="D8">
        <f t="shared" si="1"/>
        <v>2</v>
      </c>
      <c r="E8" s="17" t="s">
        <v>163</v>
      </c>
      <c r="F8" s="17" t="s">
        <v>164</v>
      </c>
      <c r="G8" s="26">
        <v>500000</v>
      </c>
      <c r="H8" s="17" t="s">
        <v>23</v>
      </c>
      <c r="I8" s="17" t="s">
        <v>23</v>
      </c>
      <c r="J8" s="17"/>
      <c r="K8" s="17" t="s">
        <v>24</v>
      </c>
      <c r="L8" s="17" t="s">
        <v>23</v>
      </c>
      <c r="M8" s="17" t="s">
        <v>25</v>
      </c>
      <c r="N8" s="17"/>
      <c r="O8" t="s">
        <v>150</v>
      </c>
      <c r="P8" s="29">
        <v>46063</v>
      </c>
      <c r="Q8">
        <f t="shared" si="2"/>
        <v>0</v>
      </c>
      <c r="R8" s="31" t="str">
        <f t="shared" si="3"/>
        <v>Đúng hạn</v>
      </c>
    </row>
    <row r="9" spans="1:18" x14ac:dyDescent="0.45">
      <c r="A9" s="30" t="s">
        <v>165</v>
      </c>
      <c r="B9" s="29">
        <v>46063</v>
      </c>
      <c r="C9">
        <f t="shared" si="0"/>
        <v>2026</v>
      </c>
      <c r="D9">
        <f t="shared" si="1"/>
        <v>2</v>
      </c>
      <c r="E9" s="17" t="s">
        <v>166</v>
      </c>
      <c r="F9" s="17" t="s">
        <v>164</v>
      </c>
      <c r="G9" s="26">
        <v>500000</v>
      </c>
      <c r="H9" s="17" t="s">
        <v>27</v>
      </c>
      <c r="I9" s="17" t="s">
        <v>28</v>
      </c>
      <c r="J9" s="17"/>
      <c r="K9" s="17" t="s">
        <v>24</v>
      </c>
      <c r="L9" s="17" t="s">
        <v>161</v>
      </c>
      <c r="M9" s="17" t="s">
        <v>21</v>
      </c>
      <c r="N9" s="17"/>
      <c r="O9" t="s">
        <v>150</v>
      </c>
      <c r="P9" s="29">
        <v>46063</v>
      </c>
      <c r="Q9">
        <f t="shared" si="2"/>
        <v>0</v>
      </c>
      <c r="R9" s="31" t="str">
        <f t="shared" si="3"/>
        <v>Đúng hạn</v>
      </c>
    </row>
    <row r="10" spans="1:18" x14ac:dyDescent="0.45">
      <c r="A10" s="30" t="s">
        <v>167</v>
      </c>
      <c r="B10" s="29">
        <v>46063</v>
      </c>
      <c r="C10">
        <f t="shared" si="0"/>
        <v>2026</v>
      </c>
      <c r="D10">
        <f t="shared" si="1"/>
        <v>2</v>
      </c>
      <c r="E10" s="17" t="s">
        <v>166</v>
      </c>
      <c r="F10" s="17" t="s">
        <v>164</v>
      </c>
      <c r="G10" s="26">
        <v>500000</v>
      </c>
      <c r="H10" s="17" t="s">
        <v>29</v>
      </c>
      <c r="I10" s="17" t="s">
        <v>168</v>
      </c>
      <c r="J10" s="17"/>
      <c r="K10" s="17" t="s">
        <v>24</v>
      </c>
      <c r="L10" s="17" t="s">
        <v>161</v>
      </c>
      <c r="M10" s="17" t="s">
        <v>21</v>
      </c>
      <c r="N10" s="17"/>
      <c r="O10" t="s">
        <v>150</v>
      </c>
      <c r="P10" s="29">
        <v>46063</v>
      </c>
      <c r="Q10">
        <f t="shared" si="2"/>
        <v>0</v>
      </c>
      <c r="R10" s="31" t="str">
        <f t="shared" si="3"/>
        <v>Đúng hạn</v>
      </c>
    </row>
    <row r="11" spans="1:18" x14ac:dyDescent="0.45">
      <c r="A11" s="30" t="s">
        <v>169</v>
      </c>
      <c r="B11" s="29">
        <v>46091</v>
      </c>
      <c r="C11">
        <f t="shared" si="0"/>
        <v>2026</v>
      </c>
      <c r="D11">
        <f t="shared" si="1"/>
        <v>3</v>
      </c>
      <c r="E11" s="17" t="s">
        <v>166</v>
      </c>
      <c r="F11" s="17" t="s">
        <v>154</v>
      </c>
      <c r="G11" s="26">
        <v>300000</v>
      </c>
      <c r="H11" s="17" t="s">
        <v>31</v>
      </c>
      <c r="I11" s="17" t="s">
        <v>170</v>
      </c>
      <c r="J11" s="17" t="s">
        <v>33</v>
      </c>
      <c r="K11" s="17" t="s">
        <v>34</v>
      </c>
      <c r="L11" s="17" t="s">
        <v>35</v>
      </c>
      <c r="M11" s="17" t="s">
        <v>36</v>
      </c>
      <c r="N11" s="17"/>
      <c r="O11" t="s">
        <v>150</v>
      </c>
      <c r="P11" s="29">
        <v>46091</v>
      </c>
      <c r="Q11">
        <f t="shared" si="2"/>
        <v>0</v>
      </c>
      <c r="R11" s="31" t="str">
        <f t="shared" si="3"/>
        <v>Đúng hạn</v>
      </c>
    </row>
    <row r="12" spans="1:18" x14ac:dyDescent="0.45">
      <c r="A12" s="30" t="s">
        <v>171</v>
      </c>
      <c r="B12" s="29">
        <v>46091</v>
      </c>
      <c r="C12">
        <f t="shared" si="0"/>
        <v>2026</v>
      </c>
      <c r="D12">
        <f t="shared" si="1"/>
        <v>3</v>
      </c>
      <c r="E12" s="17" t="s">
        <v>166</v>
      </c>
      <c r="F12" s="17" t="s">
        <v>154</v>
      </c>
      <c r="G12" s="26">
        <v>300000</v>
      </c>
      <c r="H12" s="17" t="s">
        <v>37</v>
      </c>
      <c r="I12" s="17" t="s">
        <v>38</v>
      </c>
      <c r="J12" s="17" t="s">
        <v>33</v>
      </c>
      <c r="K12" s="17" t="s">
        <v>34</v>
      </c>
      <c r="L12" s="17" t="s">
        <v>35</v>
      </c>
      <c r="M12" s="17" t="s">
        <v>36</v>
      </c>
      <c r="N12" s="17"/>
      <c r="O12" t="s">
        <v>150</v>
      </c>
      <c r="P12" s="29">
        <v>46091</v>
      </c>
      <c r="Q12">
        <f t="shared" si="2"/>
        <v>0</v>
      </c>
      <c r="R12" s="31" t="str">
        <f t="shared" si="3"/>
        <v>Đúng hạn</v>
      </c>
    </row>
    <row r="13" spans="1:18" x14ac:dyDescent="0.45">
      <c r="A13" s="30" t="s">
        <v>172</v>
      </c>
      <c r="B13" s="29">
        <v>46091</v>
      </c>
      <c r="C13">
        <f t="shared" si="0"/>
        <v>2026</v>
      </c>
      <c r="D13">
        <f t="shared" si="1"/>
        <v>3</v>
      </c>
      <c r="E13" s="17" t="s">
        <v>160</v>
      </c>
      <c r="F13" s="17" t="s">
        <v>149</v>
      </c>
      <c r="G13" s="26">
        <v>1000000</v>
      </c>
      <c r="H13" s="17" t="s">
        <v>39</v>
      </c>
      <c r="I13" s="17" t="s">
        <v>40</v>
      </c>
      <c r="J13" s="17"/>
      <c r="K13" s="17" t="s">
        <v>41</v>
      </c>
      <c r="L13" s="17" t="s">
        <v>35</v>
      </c>
      <c r="M13" s="17" t="s">
        <v>36</v>
      </c>
      <c r="N13" s="17"/>
      <c r="O13" t="s">
        <v>150</v>
      </c>
      <c r="P13" s="29">
        <v>46091</v>
      </c>
      <c r="Q13">
        <f t="shared" si="2"/>
        <v>0</v>
      </c>
      <c r="R13" s="31" t="str">
        <f t="shared" si="3"/>
        <v>Đúng hạn</v>
      </c>
    </row>
    <row r="14" spans="1:18" x14ac:dyDescent="0.45">
      <c r="A14" s="30" t="s">
        <v>173</v>
      </c>
      <c r="B14" s="29">
        <v>46091</v>
      </c>
      <c r="C14">
        <f t="shared" si="0"/>
        <v>2026</v>
      </c>
      <c r="D14">
        <f t="shared" si="1"/>
        <v>3</v>
      </c>
      <c r="E14" s="17" t="s">
        <v>166</v>
      </c>
      <c r="F14" s="17" t="s">
        <v>164</v>
      </c>
      <c r="G14" s="26">
        <v>500000</v>
      </c>
      <c r="H14" s="17" t="s">
        <v>42</v>
      </c>
      <c r="I14" s="17" t="s">
        <v>42</v>
      </c>
      <c r="J14" s="17"/>
      <c r="K14" s="17" t="s">
        <v>24</v>
      </c>
      <c r="L14" s="17" t="s">
        <v>43</v>
      </c>
      <c r="M14" s="17"/>
      <c r="N14" s="17"/>
      <c r="O14" t="s">
        <v>150</v>
      </c>
      <c r="P14" s="29">
        <v>46091</v>
      </c>
      <c r="Q14">
        <f t="shared" si="2"/>
        <v>0</v>
      </c>
      <c r="R14" s="31" t="str">
        <f t="shared" si="3"/>
        <v>Đúng hạn</v>
      </c>
    </row>
    <row r="15" spans="1:18" x14ac:dyDescent="0.45">
      <c r="A15" s="30" t="s">
        <v>174</v>
      </c>
      <c r="B15" s="29">
        <v>46091</v>
      </c>
      <c r="C15">
        <f t="shared" si="0"/>
        <v>2026</v>
      </c>
      <c r="D15">
        <f t="shared" si="1"/>
        <v>3</v>
      </c>
      <c r="E15" s="17" t="s">
        <v>160</v>
      </c>
      <c r="F15" s="17" t="s">
        <v>149</v>
      </c>
      <c r="G15" s="26">
        <v>500000</v>
      </c>
      <c r="H15" s="17" t="s">
        <v>44</v>
      </c>
      <c r="I15" s="17" t="s">
        <v>45</v>
      </c>
      <c r="J15" s="17" t="s">
        <v>175</v>
      </c>
      <c r="K15" s="17" t="s">
        <v>47</v>
      </c>
      <c r="L15" s="17" t="s">
        <v>161</v>
      </c>
      <c r="M15" s="17" t="s">
        <v>21</v>
      </c>
      <c r="N15" s="17" t="s">
        <v>48</v>
      </c>
      <c r="O15" t="s">
        <v>150</v>
      </c>
      <c r="P15" s="29">
        <v>46091</v>
      </c>
      <c r="Q15">
        <f t="shared" si="2"/>
        <v>0</v>
      </c>
      <c r="R15" s="31" t="str">
        <f t="shared" si="3"/>
        <v>Đúng hạn</v>
      </c>
    </row>
    <row r="16" spans="1:18" x14ac:dyDescent="0.45">
      <c r="A16" s="30" t="s">
        <v>176</v>
      </c>
      <c r="B16" s="29">
        <v>46091</v>
      </c>
      <c r="C16">
        <f t="shared" si="0"/>
        <v>2026</v>
      </c>
      <c r="D16">
        <f t="shared" si="1"/>
        <v>3</v>
      </c>
      <c r="E16" s="17" t="s">
        <v>160</v>
      </c>
      <c r="F16" s="17" t="s">
        <v>149</v>
      </c>
      <c r="G16" s="26">
        <v>1000000</v>
      </c>
      <c r="H16" s="17" t="s">
        <v>49</v>
      </c>
      <c r="I16" s="17" t="s">
        <v>50</v>
      </c>
      <c r="J16" s="17" t="s">
        <v>51</v>
      </c>
      <c r="K16" s="17" t="s">
        <v>52</v>
      </c>
      <c r="L16" s="17" t="s">
        <v>43</v>
      </c>
      <c r="M16" s="17"/>
      <c r="N16" s="17" t="s">
        <v>53</v>
      </c>
      <c r="O16" t="s">
        <v>150</v>
      </c>
      <c r="P16" s="29">
        <v>46091</v>
      </c>
      <c r="Q16">
        <f t="shared" si="2"/>
        <v>0</v>
      </c>
      <c r="R16" s="31" t="str">
        <f t="shared" si="3"/>
        <v>Đúng hạn</v>
      </c>
    </row>
    <row r="17" spans="1:18" x14ac:dyDescent="0.45">
      <c r="A17" s="30" t="s">
        <v>177</v>
      </c>
      <c r="B17" s="29">
        <v>46091</v>
      </c>
      <c r="C17">
        <f t="shared" si="0"/>
        <v>2026</v>
      </c>
      <c r="D17">
        <f t="shared" si="1"/>
        <v>3</v>
      </c>
      <c r="E17" s="17" t="s">
        <v>166</v>
      </c>
      <c r="F17" s="17" t="s">
        <v>164</v>
      </c>
      <c r="G17" s="26">
        <v>500000</v>
      </c>
      <c r="H17" s="17" t="s">
        <v>54</v>
      </c>
      <c r="I17" s="17" t="s">
        <v>55</v>
      </c>
      <c r="J17" s="17" t="s">
        <v>56</v>
      </c>
      <c r="K17" s="17" t="s">
        <v>24</v>
      </c>
      <c r="L17" s="17" t="s">
        <v>57</v>
      </c>
      <c r="M17" s="17" t="s">
        <v>25</v>
      </c>
      <c r="N17" s="17"/>
      <c r="O17" t="s">
        <v>150</v>
      </c>
      <c r="P17" s="29">
        <v>46091</v>
      </c>
      <c r="Q17">
        <f t="shared" si="2"/>
        <v>0</v>
      </c>
      <c r="R17" s="31" t="str">
        <f t="shared" si="3"/>
        <v>Đúng hạn</v>
      </c>
    </row>
    <row r="18" spans="1:18" x14ac:dyDescent="0.45">
      <c r="A18" s="30" t="s">
        <v>178</v>
      </c>
      <c r="B18" s="29">
        <v>46091</v>
      </c>
      <c r="C18">
        <f t="shared" si="0"/>
        <v>2026</v>
      </c>
      <c r="D18">
        <f t="shared" si="1"/>
        <v>3</v>
      </c>
      <c r="E18" s="17" t="s">
        <v>166</v>
      </c>
      <c r="F18" s="17" t="s">
        <v>164</v>
      </c>
      <c r="G18" s="26">
        <v>500000</v>
      </c>
      <c r="H18" s="17" t="s">
        <v>58</v>
      </c>
      <c r="I18" s="17" t="s">
        <v>58</v>
      </c>
      <c r="J18" s="17"/>
      <c r="K18" s="17" t="s">
        <v>24</v>
      </c>
      <c r="L18" s="17" t="s">
        <v>57</v>
      </c>
      <c r="M18" s="17" t="s">
        <v>25</v>
      </c>
      <c r="N18" s="17"/>
      <c r="O18" t="s">
        <v>150</v>
      </c>
      <c r="P18" s="29">
        <v>46091</v>
      </c>
      <c r="Q18">
        <f t="shared" si="2"/>
        <v>0</v>
      </c>
      <c r="R18" s="31" t="str">
        <f t="shared" si="3"/>
        <v>Đúng hạn</v>
      </c>
    </row>
    <row r="19" spans="1:18" x14ac:dyDescent="0.45">
      <c r="A19" s="30" t="s">
        <v>179</v>
      </c>
      <c r="B19" s="29">
        <v>46091</v>
      </c>
      <c r="C19">
        <f t="shared" si="0"/>
        <v>2026</v>
      </c>
      <c r="D19">
        <f t="shared" si="1"/>
        <v>3</v>
      </c>
      <c r="E19" s="17" t="s">
        <v>166</v>
      </c>
      <c r="F19" s="17" t="s">
        <v>164</v>
      </c>
      <c r="G19" s="26">
        <v>500000</v>
      </c>
      <c r="H19" s="17" t="s">
        <v>59</v>
      </c>
      <c r="I19" s="17" t="s">
        <v>60</v>
      </c>
      <c r="J19" s="17"/>
      <c r="K19" s="17" t="s">
        <v>24</v>
      </c>
      <c r="L19" s="17" t="s">
        <v>57</v>
      </c>
      <c r="M19" s="17" t="s">
        <v>25</v>
      </c>
      <c r="N19" s="17"/>
      <c r="O19" t="s">
        <v>150</v>
      </c>
      <c r="P19" s="29">
        <v>46091</v>
      </c>
      <c r="Q19">
        <f t="shared" si="2"/>
        <v>0</v>
      </c>
      <c r="R19" s="31" t="str">
        <f t="shared" si="3"/>
        <v>Đúng hạn</v>
      </c>
    </row>
    <row r="20" spans="1:18" x14ac:dyDescent="0.45">
      <c r="A20" s="30" t="s">
        <v>180</v>
      </c>
      <c r="B20" s="29">
        <v>46091</v>
      </c>
      <c r="C20">
        <f t="shared" si="0"/>
        <v>2026</v>
      </c>
      <c r="D20">
        <f t="shared" si="1"/>
        <v>3</v>
      </c>
      <c r="E20" s="17" t="s">
        <v>166</v>
      </c>
      <c r="F20" s="17" t="s">
        <v>154</v>
      </c>
      <c r="G20" s="26">
        <v>300000</v>
      </c>
      <c r="H20" s="17" t="s">
        <v>61</v>
      </c>
      <c r="I20" s="17" t="s">
        <v>62</v>
      </c>
      <c r="J20" s="17" t="s">
        <v>33</v>
      </c>
      <c r="K20" s="17" t="s">
        <v>34</v>
      </c>
      <c r="L20" s="17" t="s">
        <v>35</v>
      </c>
      <c r="M20" s="17" t="s">
        <v>36</v>
      </c>
      <c r="N20" s="17"/>
      <c r="O20" t="s">
        <v>150</v>
      </c>
      <c r="P20" s="29">
        <v>46091</v>
      </c>
      <c r="Q20">
        <f t="shared" si="2"/>
        <v>0</v>
      </c>
      <c r="R20" s="31" t="str">
        <f t="shared" si="3"/>
        <v>Đúng hạn</v>
      </c>
    </row>
    <row r="21" spans="1:18" x14ac:dyDescent="0.45">
      <c r="A21" s="30" t="s">
        <v>181</v>
      </c>
      <c r="B21" s="29">
        <v>46104</v>
      </c>
      <c r="C21">
        <f t="shared" si="0"/>
        <v>2026</v>
      </c>
      <c r="D21">
        <f t="shared" si="1"/>
        <v>3</v>
      </c>
      <c r="E21" s="17" t="s">
        <v>166</v>
      </c>
      <c r="F21" s="17" t="s">
        <v>164</v>
      </c>
      <c r="G21" s="26">
        <v>500000</v>
      </c>
      <c r="H21" s="17" t="s">
        <v>63</v>
      </c>
      <c r="I21" s="17" t="s">
        <v>64</v>
      </c>
      <c r="J21" s="17" t="s">
        <v>182</v>
      </c>
      <c r="K21" s="17" t="s">
        <v>24</v>
      </c>
      <c r="L21" s="17" t="s">
        <v>35</v>
      </c>
      <c r="M21" s="17" t="s">
        <v>36</v>
      </c>
      <c r="N21" s="17"/>
      <c r="O21" t="s">
        <v>150</v>
      </c>
      <c r="P21" s="29">
        <v>46104</v>
      </c>
      <c r="Q21">
        <f t="shared" si="2"/>
        <v>0</v>
      </c>
      <c r="R21" s="31" t="str">
        <f t="shared" si="3"/>
        <v>Đúng hạn</v>
      </c>
    </row>
    <row r="22" spans="1:18" x14ac:dyDescent="0.45">
      <c r="A22" s="30" t="s">
        <v>183</v>
      </c>
      <c r="B22" s="29">
        <v>46104</v>
      </c>
      <c r="C22">
        <f t="shared" si="0"/>
        <v>2026</v>
      </c>
      <c r="D22">
        <f t="shared" si="1"/>
        <v>3</v>
      </c>
      <c r="E22" s="17" t="s">
        <v>160</v>
      </c>
      <c r="F22" s="17" t="s">
        <v>149</v>
      </c>
      <c r="G22" s="26">
        <v>1000000</v>
      </c>
      <c r="H22" s="17" t="s">
        <v>184</v>
      </c>
      <c r="I22" s="17" t="s">
        <v>67</v>
      </c>
      <c r="J22" s="17" t="s">
        <v>175</v>
      </c>
      <c r="K22" s="17" t="s">
        <v>68</v>
      </c>
      <c r="L22" s="17" t="s">
        <v>35</v>
      </c>
      <c r="M22" s="17" t="s">
        <v>36</v>
      </c>
      <c r="N22" s="17" t="s">
        <v>69</v>
      </c>
      <c r="O22" t="s">
        <v>150</v>
      </c>
      <c r="P22" s="29">
        <v>46104</v>
      </c>
      <c r="Q22">
        <f t="shared" si="2"/>
        <v>0</v>
      </c>
      <c r="R22" s="31" t="str">
        <f t="shared" si="3"/>
        <v>Đúng hạn</v>
      </c>
    </row>
    <row r="23" spans="1:18" x14ac:dyDescent="0.45">
      <c r="A23" s="30" t="s">
        <v>185</v>
      </c>
      <c r="B23" s="29">
        <v>46104</v>
      </c>
      <c r="C23">
        <f t="shared" si="0"/>
        <v>2026</v>
      </c>
      <c r="D23">
        <f t="shared" si="1"/>
        <v>3</v>
      </c>
      <c r="E23" s="17" t="s">
        <v>166</v>
      </c>
      <c r="F23" s="17" t="s">
        <v>164</v>
      </c>
      <c r="G23" s="26">
        <v>500000</v>
      </c>
      <c r="H23" s="17" t="s">
        <v>70</v>
      </c>
      <c r="I23" s="17" t="s">
        <v>71</v>
      </c>
      <c r="J23" s="17" t="s">
        <v>72</v>
      </c>
      <c r="K23" s="17" t="s">
        <v>24</v>
      </c>
      <c r="L23" s="17" t="s">
        <v>57</v>
      </c>
      <c r="M23" s="17" t="s">
        <v>25</v>
      </c>
      <c r="N23" s="17"/>
      <c r="O23" t="s">
        <v>150</v>
      </c>
      <c r="P23" s="29">
        <v>46104</v>
      </c>
      <c r="Q23">
        <f t="shared" si="2"/>
        <v>0</v>
      </c>
      <c r="R23" s="31" t="str">
        <f t="shared" si="3"/>
        <v>Đúng hạn</v>
      </c>
    </row>
    <row r="24" spans="1:18" x14ac:dyDescent="0.45">
      <c r="A24" s="30" t="s">
        <v>186</v>
      </c>
      <c r="B24" s="29">
        <v>46104</v>
      </c>
      <c r="C24">
        <f t="shared" si="0"/>
        <v>2026</v>
      </c>
      <c r="D24">
        <f t="shared" si="1"/>
        <v>3</v>
      </c>
      <c r="E24" s="17" t="s">
        <v>166</v>
      </c>
      <c r="F24" s="17" t="s">
        <v>164</v>
      </c>
      <c r="G24" s="26">
        <v>500000</v>
      </c>
      <c r="H24" s="17" t="s">
        <v>73</v>
      </c>
      <c r="I24" s="17" t="s">
        <v>74</v>
      </c>
      <c r="J24" s="17"/>
      <c r="K24" s="17" t="s">
        <v>24</v>
      </c>
      <c r="L24" s="17" t="s">
        <v>57</v>
      </c>
      <c r="M24" s="17" t="s">
        <v>25</v>
      </c>
      <c r="N24" s="17"/>
      <c r="O24" t="s">
        <v>150</v>
      </c>
      <c r="P24" s="29">
        <v>46104</v>
      </c>
      <c r="Q24">
        <f t="shared" si="2"/>
        <v>0</v>
      </c>
      <c r="R24" s="31" t="str">
        <f t="shared" si="3"/>
        <v>Đúng hạn</v>
      </c>
    </row>
    <row r="25" spans="1:18" x14ac:dyDescent="0.45">
      <c r="A25" s="30" t="s">
        <v>187</v>
      </c>
      <c r="B25" s="29">
        <v>46119</v>
      </c>
      <c r="C25">
        <f t="shared" si="0"/>
        <v>2026</v>
      </c>
      <c r="D25">
        <f t="shared" si="1"/>
        <v>4</v>
      </c>
      <c r="E25" s="17" t="s">
        <v>166</v>
      </c>
      <c r="F25" s="17" t="s">
        <v>164</v>
      </c>
      <c r="G25" s="26">
        <v>500000</v>
      </c>
      <c r="H25" s="17" t="s">
        <v>188</v>
      </c>
      <c r="I25" s="17" t="s">
        <v>76</v>
      </c>
      <c r="J25" s="17" t="s">
        <v>189</v>
      </c>
      <c r="K25" s="17" t="s">
        <v>24</v>
      </c>
      <c r="L25" s="17" t="s">
        <v>57</v>
      </c>
      <c r="M25" s="17" t="s">
        <v>25</v>
      </c>
      <c r="N25" s="17"/>
      <c r="O25" t="s">
        <v>150</v>
      </c>
      <c r="P25" s="29">
        <v>46119</v>
      </c>
      <c r="Q25">
        <f t="shared" si="2"/>
        <v>0</v>
      </c>
      <c r="R25" s="31" t="str">
        <f t="shared" si="3"/>
        <v>Đúng hạn</v>
      </c>
    </row>
    <row r="26" spans="1:18" x14ac:dyDescent="0.45">
      <c r="A26" s="30" t="s">
        <v>190</v>
      </c>
      <c r="B26" s="29">
        <v>46119</v>
      </c>
      <c r="C26">
        <f t="shared" si="0"/>
        <v>2026</v>
      </c>
      <c r="D26">
        <f t="shared" si="1"/>
        <v>4</v>
      </c>
      <c r="E26" s="17" t="s">
        <v>166</v>
      </c>
      <c r="F26" s="17" t="s">
        <v>164</v>
      </c>
      <c r="G26" s="26">
        <v>500000</v>
      </c>
      <c r="H26" s="17" t="s">
        <v>191</v>
      </c>
      <c r="I26" s="17" t="s">
        <v>79</v>
      </c>
      <c r="J26" s="17" t="s">
        <v>80</v>
      </c>
      <c r="K26" s="17" t="s">
        <v>24</v>
      </c>
      <c r="L26" s="17" t="s">
        <v>35</v>
      </c>
      <c r="M26" s="17" t="s">
        <v>36</v>
      </c>
      <c r="N26" s="17"/>
      <c r="O26" t="s">
        <v>150</v>
      </c>
      <c r="P26" s="29">
        <v>46119</v>
      </c>
      <c r="Q26">
        <f t="shared" si="2"/>
        <v>0</v>
      </c>
      <c r="R26" s="31" t="str">
        <f t="shared" si="3"/>
        <v>Đúng hạn</v>
      </c>
    </row>
    <row r="27" spans="1:18" x14ac:dyDescent="0.45">
      <c r="A27" s="30" t="s">
        <v>192</v>
      </c>
      <c r="B27" s="29">
        <v>46126</v>
      </c>
      <c r="C27">
        <f t="shared" si="0"/>
        <v>2026</v>
      </c>
      <c r="D27">
        <f t="shared" si="1"/>
        <v>4</v>
      </c>
      <c r="E27" s="17" t="s">
        <v>81</v>
      </c>
      <c r="F27" s="17" t="s">
        <v>157</v>
      </c>
      <c r="G27" s="26">
        <v>4500000</v>
      </c>
      <c r="H27" s="17"/>
      <c r="I27" s="17"/>
      <c r="J27" s="17"/>
      <c r="K27" s="17"/>
      <c r="L27" s="17"/>
      <c r="M27" s="17"/>
      <c r="N27" s="17"/>
      <c r="O27" t="s">
        <v>150</v>
      </c>
      <c r="P27" s="29">
        <v>46126</v>
      </c>
      <c r="Q27">
        <f t="shared" si="2"/>
        <v>0</v>
      </c>
      <c r="R27" s="31" t="str">
        <f t="shared" si="3"/>
        <v>Đúng hạn</v>
      </c>
    </row>
    <row r="28" spans="1:18" x14ac:dyDescent="0.45">
      <c r="A28" s="30" t="s">
        <v>193</v>
      </c>
      <c r="B28" s="29">
        <v>46126</v>
      </c>
      <c r="C28">
        <f t="shared" si="0"/>
        <v>2026</v>
      </c>
      <c r="D28">
        <f t="shared" si="1"/>
        <v>4</v>
      </c>
      <c r="E28" s="17" t="s">
        <v>82</v>
      </c>
      <c r="F28" s="17" t="s">
        <v>164</v>
      </c>
      <c r="G28" s="26">
        <v>300000</v>
      </c>
      <c r="H28" s="17" t="s">
        <v>60</v>
      </c>
      <c r="I28" s="17" t="s">
        <v>60</v>
      </c>
      <c r="J28" s="17" t="s">
        <v>194</v>
      </c>
      <c r="K28" s="17" t="s">
        <v>24</v>
      </c>
      <c r="L28" s="17" t="s">
        <v>57</v>
      </c>
      <c r="M28" s="17" t="s">
        <v>25</v>
      </c>
      <c r="N28" s="17"/>
      <c r="O28" t="s">
        <v>150</v>
      </c>
      <c r="P28" s="29">
        <v>46126</v>
      </c>
      <c r="Q28">
        <f t="shared" si="2"/>
        <v>0</v>
      </c>
      <c r="R28" s="31" t="str">
        <f t="shared" si="3"/>
        <v>Đúng hạn</v>
      </c>
    </row>
    <row r="29" spans="1:18" x14ac:dyDescent="0.45">
      <c r="A29" s="30" t="s">
        <v>195</v>
      </c>
      <c r="B29" s="29">
        <v>46128</v>
      </c>
      <c r="C29">
        <f t="shared" si="0"/>
        <v>2026</v>
      </c>
      <c r="D29">
        <f t="shared" si="1"/>
        <v>4</v>
      </c>
      <c r="E29" s="17" t="s">
        <v>82</v>
      </c>
      <c r="F29" s="17" t="s">
        <v>164</v>
      </c>
      <c r="G29" s="26">
        <v>300000</v>
      </c>
      <c r="H29" s="17" t="s">
        <v>196</v>
      </c>
      <c r="I29" s="17" t="s">
        <v>86</v>
      </c>
      <c r="J29" s="17" t="s">
        <v>80</v>
      </c>
      <c r="K29" s="17" t="s">
        <v>24</v>
      </c>
      <c r="L29" s="17" t="s">
        <v>35</v>
      </c>
      <c r="M29" s="17" t="s">
        <v>36</v>
      </c>
      <c r="N29" s="17"/>
      <c r="O29" t="s">
        <v>150</v>
      </c>
      <c r="P29" s="29">
        <v>46128</v>
      </c>
      <c r="Q29">
        <f t="shared" si="2"/>
        <v>0</v>
      </c>
      <c r="R29" s="31" t="str">
        <f t="shared" si="3"/>
        <v>Đúng hạn</v>
      </c>
    </row>
    <row r="30" spans="1:18" x14ac:dyDescent="0.45">
      <c r="A30" s="30" t="s">
        <v>197</v>
      </c>
      <c r="B30" s="29">
        <v>46128</v>
      </c>
      <c r="C30">
        <f t="shared" si="0"/>
        <v>2026</v>
      </c>
      <c r="D30">
        <f t="shared" si="1"/>
        <v>4</v>
      </c>
      <c r="E30" s="17" t="s">
        <v>82</v>
      </c>
      <c r="F30" s="17" t="s">
        <v>164</v>
      </c>
      <c r="G30" s="26">
        <v>300000</v>
      </c>
      <c r="H30" s="17" t="s">
        <v>198</v>
      </c>
      <c r="I30" s="17" t="s">
        <v>88</v>
      </c>
      <c r="J30" s="17" t="s">
        <v>51</v>
      </c>
      <c r="K30" s="17" t="s">
        <v>24</v>
      </c>
      <c r="L30" s="17" t="s">
        <v>161</v>
      </c>
      <c r="M30" s="17" t="s">
        <v>21</v>
      </c>
      <c r="N30" s="17"/>
      <c r="O30" t="s">
        <v>150</v>
      </c>
      <c r="P30" s="29">
        <v>46128</v>
      </c>
      <c r="Q30">
        <f t="shared" si="2"/>
        <v>0</v>
      </c>
      <c r="R30" s="31" t="str">
        <f t="shared" si="3"/>
        <v>Đúng hạn</v>
      </c>
    </row>
    <row r="31" spans="1:18" ht="28.5" x14ac:dyDescent="0.45">
      <c r="A31" s="30" t="s">
        <v>199</v>
      </c>
      <c r="B31" s="29">
        <v>46134</v>
      </c>
      <c r="C31">
        <f t="shared" si="0"/>
        <v>2026</v>
      </c>
      <c r="D31">
        <f t="shared" si="1"/>
        <v>4</v>
      </c>
      <c r="E31" s="17" t="s">
        <v>89</v>
      </c>
      <c r="F31" s="17" t="s">
        <v>157</v>
      </c>
      <c r="G31" s="26">
        <v>3400000</v>
      </c>
      <c r="H31" s="17"/>
      <c r="I31" s="17"/>
      <c r="J31" s="17"/>
      <c r="K31" s="17"/>
      <c r="L31" s="17"/>
      <c r="M31" s="17"/>
      <c r="N31" s="17"/>
      <c r="O31" t="s">
        <v>150</v>
      </c>
      <c r="P31" s="29">
        <v>46134</v>
      </c>
      <c r="Q31">
        <f t="shared" si="2"/>
        <v>0</v>
      </c>
      <c r="R31" s="31" t="str">
        <f t="shared" si="3"/>
        <v>Đúng hạn</v>
      </c>
    </row>
    <row r="32" spans="1:18" x14ac:dyDescent="0.45">
      <c r="A32" s="30" t="s">
        <v>200</v>
      </c>
      <c r="B32" s="29">
        <v>46149</v>
      </c>
      <c r="C32">
        <f t="shared" si="0"/>
        <v>2026</v>
      </c>
      <c r="D32">
        <f t="shared" si="1"/>
        <v>5</v>
      </c>
      <c r="E32" s="17" t="s">
        <v>160</v>
      </c>
      <c r="F32" s="17" t="s">
        <v>149</v>
      </c>
      <c r="G32" s="26">
        <v>1000000</v>
      </c>
      <c r="H32" s="17" t="s">
        <v>201</v>
      </c>
      <c r="I32" s="17" t="s">
        <v>202</v>
      </c>
      <c r="J32" s="17" t="s">
        <v>189</v>
      </c>
      <c r="K32" s="17" t="s">
        <v>92</v>
      </c>
      <c r="L32" s="17" t="s">
        <v>57</v>
      </c>
      <c r="M32" s="17" t="s">
        <v>25</v>
      </c>
      <c r="N32" s="17"/>
      <c r="O32" t="s">
        <v>150</v>
      </c>
      <c r="P32" s="29">
        <v>46149</v>
      </c>
      <c r="Q32">
        <f t="shared" si="2"/>
        <v>0</v>
      </c>
      <c r="R32" s="31" t="str">
        <f t="shared" si="3"/>
        <v>Đúng hạn</v>
      </c>
    </row>
    <row r="33" spans="1:18" x14ac:dyDescent="0.45">
      <c r="A33" s="30" t="s">
        <v>203</v>
      </c>
      <c r="B33" s="29">
        <v>46149</v>
      </c>
      <c r="C33">
        <f t="shared" si="0"/>
        <v>2026</v>
      </c>
      <c r="D33">
        <f t="shared" si="1"/>
        <v>5</v>
      </c>
      <c r="E33" s="17" t="s">
        <v>82</v>
      </c>
      <c r="F33" s="17" t="s">
        <v>164</v>
      </c>
      <c r="G33" s="26">
        <v>300000</v>
      </c>
      <c r="H33" s="17" t="s">
        <v>204</v>
      </c>
      <c r="I33" s="17" t="s">
        <v>94</v>
      </c>
      <c r="J33" s="17" t="s">
        <v>80</v>
      </c>
      <c r="K33" s="17" t="s">
        <v>24</v>
      </c>
      <c r="L33" s="17" t="s">
        <v>35</v>
      </c>
      <c r="M33" s="17" t="s">
        <v>36</v>
      </c>
      <c r="N33" s="17"/>
      <c r="O33" t="s">
        <v>150</v>
      </c>
      <c r="P33" s="29">
        <v>46149</v>
      </c>
      <c r="Q33">
        <f t="shared" si="2"/>
        <v>0</v>
      </c>
      <c r="R33" s="31" t="str">
        <f t="shared" si="3"/>
        <v>Đúng hạn</v>
      </c>
    </row>
    <row r="34" spans="1:18" ht="28.5" x14ac:dyDescent="0.45">
      <c r="A34" s="30" t="s">
        <v>205</v>
      </c>
      <c r="B34" s="29">
        <v>46154</v>
      </c>
      <c r="C34">
        <f t="shared" si="0"/>
        <v>2026</v>
      </c>
      <c r="D34">
        <f t="shared" si="1"/>
        <v>5</v>
      </c>
      <c r="E34" s="17" t="s">
        <v>95</v>
      </c>
      <c r="F34" s="17" t="s">
        <v>206</v>
      </c>
      <c r="G34" s="26">
        <v>7000000</v>
      </c>
      <c r="H34" s="17"/>
      <c r="I34" s="17"/>
      <c r="J34" s="17"/>
      <c r="K34" s="17"/>
      <c r="L34" s="17"/>
      <c r="M34" s="17"/>
      <c r="N34" s="17"/>
      <c r="O34" t="s">
        <v>150</v>
      </c>
      <c r="P34" s="29">
        <v>46154</v>
      </c>
      <c r="Q34">
        <f t="shared" si="2"/>
        <v>0</v>
      </c>
      <c r="R34" s="31" t="str">
        <f t="shared" si="3"/>
        <v>Đúng hạn</v>
      </c>
    </row>
    <row r="35" spans="1:18" x14ac:dyDescent="0.45">
      <c r="A35" s="30" t="s">
        <v>207</v>
      </c>
      <c r="B35" s="29">
        <v>46154</v>
      </c>
      <c r="C35">
        <f t="shared" si="0"/>
        <v>2026</v>
      </c>
      <c r="D35">
        <f t="shared" si="1"/>
        <v>5</v>
      </c>
      <c r="E35" s="17" t="s">
        <v>82</v>
      </c>
      <c r="F35" s="17" t="s">
        <v>164</v>
      </c>
      <c r="G35" s="26">
        <v>300000</v>
      </c>
      <c r="H35" s="17" t="s">
        <v>86</v>
      </c>
      <c r="I35" s="17" t="s">
        <v>86</v>
      </c>
      <c r="J35" s="17"/>
      <c r="K35" s="17" t="s">
        <v>24</v>
      </c>
      <c r="L35" s="17" t="s">
        <v>35</v>
      </c>
      <c r="M35" s="17" t="s">
        <v>36</v>
      </c>
      <c r="N35" s="17"/>
      <c r="O35" t="s">
        <v>150</v>
      </c>
      <c r="P35" s="29">
        <v>46154</v>
      </c>
      <c r="Q35">
        <f t="shared" si="2"/>
        <v>0</v>
      </c>
      <c r="R35" s="31" t="str">
        <f t="shared" si="3"/>
        <v>Đúng hạn</v>
      </c>
    </row>
    <row r="36" spans="1:18" x14ac:dyDescent="0.45">
      <c r="A36" s="30" t="s">
        <v>208</v>
      </c>
      <c r="B36" s="29">
        <v>46154</v>
      </c>
      <c r="C36">
        <f t="shared" si="0"/>
        <v>2026</v>
      </c>
      <c r="D36">
        <f t="shared" si="1"/>
        <v>5</v>
      </c>
      <c r="E36" s="17" t="s">
        <v>82</v>
      </c>
      <c r="F36" s="17" t="s">
        <v>164</v>
      </c>
      <c r="G36" s="26">
        <v>300000</v>
      </c>
      <c r="H36" s="17" t="s">
        <v>209</v>
      </c>
      <c r="I36" s="17" t="s">
        <v>209</v>
      </c>
      <c r="J36" s="17"/>
      <c r="K36" s="17" t="s">
        <v>24</v>
      </c>
      <c r="L36" s="17" t="s">
        <v>57</v>
      </c>
      <c r="M36" s="17" t="s">
        <v>25</v>
      </c>
      <c r="N36" s="17"/>
      <c r="O36" t="s">
        <v>150</v>
      </c>
      <c r="P36" s="29">
        <v>46154</v>
      </c>
      <c r="Q36">
        <f t="shared" si="2"/>
        <v>0</v>
      </c>
      <c r="R36" s="31" t="str">
        <f t="shared" si="3"/>
        <v>Đúng hạn</v>
      </c>
    </row>
    <row r="37" spans="1:18" x14ac:dyDescent="0.45">
      <c r="A37" s="30" t="s">
        <v>210</v>
      </c>
      <c r="B37" s="29">
        <v>46163</v>
      </c>
      <c r="C37">
        <f t="shared" si="0"/>
        <v>2026</v>
      </c>
      <c r="D37">
        <f t="shared" si="1"/>
        <v>5</v>
      </c>
      <c r="E37" s="17" t="s">
        <v>160</v>
      </c>
      <c r="F37" s="17" t="s">
        <v>149</v>
      </c>
      <c r="G37" s="26">
        <v>1000000</v>
      </c>
      <c r="H37" s="17" t="s">
        <v>211</v>
      </c>
      <c r="I37" s="17" t="s">
        <v>212</v>
      </c>
      <c r="J37" s="17" t="s">
        <v>189</v>
      </c>
      <c r="K37" s="17" t="s">
        <v>92</v>
      </c>
      <c r="L37" s="17" t="s">
        <v>161</v>
      </c>
      <c r="M37" s="17" t="s">
        <v>21</v>
      </c>
      <c r="N37" s="17"/>
      <c r="O37" t="s">
        <v>150</v>
      </c>
      <c r="P37" s="29">
        <v>46163</v>
      </c>
      <c r="Q37">
        <f t="shared" si="2"/>
        <v>0</v>
      </c>
      <c r="R37" s="31" t="str">
        <f t="shared" si="3"/>
        <v>Đúng hạn</v>
      </c>
    </row>
    <row r="38" spans="1:18" x14ac:dyDescent="0.45">
      <c r="A38" s="30" t="s">
        <v>213</v>
      </c>
      <c r="B38" s="29">
        <v>46182</v>
      </c>
      <c r="C38">
        <f t="shared" si="0"/>
        <v>2026</v>
      </c>
      <c r="D38">
        <f t="shared" si="1"/>
        <v>6</v>
      </c>
      <c r="E38" s="17" t="s">
        <v>99</v>
      </c>
      <c r="F38" s="17" t="s">
        <v>157</v>
      </c>
      <c r="G38" s="26">
        <v>2800000</v>
      </c>
      <c r="H38" s="17"/>
      <c r="I38" s="17"/>
      <c r="J38" s="17"/>
      <c r="K38" s="17"/>
      <c r="L38" s="17"/>
      <c r="M38" s="17"/>
      <c r="N38" s="17"/>
      <c r="O38" t="s">
        <v>150</v>
      </c>
      <c r="P38" s="29">
        <v>46182</v>
      </c>
      <c r="Q38">
        <f t="shared" si="2"/>
        <v>0</v>
      </c>
      <c r="R38" s="31" t="str">
        <f t="shared" si="3"/>
        <v>Đúng hạn</v>
      </c>
    </row>
    <row r="39" spans="1:18" x14ac:dyDescent="0.45">
      <c r="A39" s="30" t="s">
        <v>214</v>
      </c>
      <c r="B39" s="29">
        <v>46182</v>
      </c>
      <c r="C39">
        <f t="shared" si="0"/>
        <v>2026</v>
      </c>
      <c r="D39">
        <f t="shared" si="1"/>
        <v>6</v>
      </c>
      <c r="E39" s="17" t="s">
        <v>82</v>
      </c>
      <c r="F39" s="17" t="s">
        <v>154</v>
      </c>
      <c r="G39" s="26">
        <v>300000</v>
      </c>
      <c r="H39" s="17" t="s">
        <v>215</v>
      </c>
      <c r="I39" s="17" t="s">
        <v>101</v>
      </c>
      <c r="J39" s="17" t="s">
        <v>80</v>
      </c>
      <c r="K39" s="17" t="s">
        <v>34</v>
      </c>
      <c r="L39" s="17" t="s">
        <v>35</v>
      </c>
      <c r="M39" s="17" t="s">
        <v>36</v>
      </c>
      <c r="N39" s="17"/>
      <c r="O39" t="s">
        <v>150</v>
      </c>
      <c r="P39" s="29">
        <v>46182</v>
      </c>
      <c r="Q39">
        <f t="shared" si="2"/>
        <v>0</v>
      </c>
      <c r="R39" s="31" t="str">
        <f t="shared" si="3"/>
        <v>Đúng hạn</v>
      </c>
    </row>
    <row r="40" spans="1:18" x14ac:dyDescent="0.45">
      <c r="A40" s="30" t="s">
        <v>216</v>
      </c>
      <c r="B40" s="29">
        <v>46182</v>
      </c>
      <c r="C40">
        <f t="shared" si="0"/>
        <v>2026</v>
      </c>
      <c r="D40">
        <f t="shared" si="1"/>
        <v>6</v>
      </c>
      <c r="E40" s="17" t="s">
        <v>82</v>
      </c>
      <c r="F40" s="17" t="s">
        <v>206</v>
      </c>
      <c r="G40" s="26">
        <v>300000</v>
      </c>
      <c r="H40" s="17" t="s">
        <v>217</v>
      </c>
      <c r="I40" s="17" t="s">
        <v>217</v>
      </c>
      <c r="J40" s="17"/>
      <c r="K40" s="17" t="s">
        <v>218</v>
      </c>
      <c r="L40" s="17" t="s">
        <v>161</v>
      </c>
      <c r="M40" s="17" t="s">
        <v>21</v>
      </c>
      <c r="N40" s="17"/>
      <c r="O40" t="s">
        <v>150</v>
      </c>
      <c r="P40" s="29">
        <v>46182</v>
      </c>
      <c r="Q40">
        <f t="shared" si="2"/>
        <v>0</v>
      </c>
      <c r="R40" s="31" t="str">
        <f t="shared" si="3"/>
        <v>Đúng hạn</v>
      </c>
    </row>
    <row r="41" spans="1:18" ht="42.75" x14ac:dyDescent="0.45">
      <c r="A41" s="30" t="s">
        <v>219</v>
      </c>
      <c r="B41" s="29">
        <v>46182</v>
      </c>
      <c r="C41">
        <f t="shared" si="0"/>
        <v>2026</v>
      </c>
      <c r="D41">
        <f t="shared" si="1"/>
        <v>6</v>
      </c>
      <c r="E41" s="17" t="s">
        <v>104</v>
      </c>
      <c r="F41" s="17" t="s">
        <v>206</v>
      </c>
      <c r="G41" s="26">
        <v>2000000</v>
      </c>
      <c r="H41" s="17"/>
      <c r="I41" s="17"/>
      <c r="J41" s="17"/>
      <c r="K41" s="17"/>
      <c r="L41" s="17"/>
      <c r="M41" s="17"/>
      <c r="N41" s="17"/>
      <c r="O41" t="s">
        <v>150</v>
      </c>
      <c r="P41" s="29">
        <v>46182</v>
      </c>
      <c r="Q41">
        <f t="shared" si="2"/>
        <v>0</v>
      </c>
      <c r="R41" s="31" t="str">
        <f t="shared" si="3"/>
        <v>Đúng hạn</v>
      </c>
    </row>
    <row r="42" spans="1:18" x14ac:dyDescent="0.45">
      <c r="A42" s="30" t="s">
        <v>220</v>
      </c>
      <c r="B42" s="29">
        <v>46191</v>
      </c>
      <c r="C42">
        <f t="shared" si="0"/>
        <v>2026</v>
      </c>
      <c r="D42">
        <f t="shared" si="1"/>
        <v>6</v>
      </c>
      <c r="E42" s="17" t="s">
        <v>82</v>
      </c>
      <c r="F42" s="17" t="s">
        <v>164</v>
      </c>
      <c r="G42" s="26">
        <v>300000</v>
      </c>
      <c r="H42" s="17" t="s">
        <v>221</v>
      </c>
      <c r="I42" s="17" t="s">
        <v>221</v>
      </c>
      <c r="J42" s="17"/>
      <c r="K42" s="17" t="s">
        <v>24</v>
      </c>
      <c r="L42" s="17" t="s">
        <v>57</v>
      </c>
      <c r="M42" s="17" t="s">
        <v>25</v>
      </c>
      <c r="N42" s="17"/>
      <c r="O42" t="s">
        <v>150</v>
      </c>
      <c r="P42" s="29">
        <v>46191</v>
      </c>
      <c r="Q42">
        <f t="shared" si="2"/>
        <v>0</v>
      </c>
      <c r="R42" s="31" t="str">
        <f t="shared" si="3"/>
        <v>Đúng hạn</v>
      </c>
    </row>
    <row r="43" spans="1:18" x14ac:dyDescent="0.45">
      <c r="A43" s="30" t="s">
        <v>222</v>
      </c>
      <c r="B43" s="29">
        <v>46191</v>
      </c>
      <c r="C43">
        <f t="shared" si="0"/>
        <v>2026</v>
      </c>
      <c r="D43">
        <f t="shared" si="1"/>
        <v>6</v>
      </c>
      <c r="E43" s="17" t="s">
        <v>82</v>
      </c>
      <c r="F43" s="17" t="s">
        <v>164</v>
      </c>
      <c r="G43" s="26">
        <v>300000</v>
      </c>
      <c r="H43" s="17" t="s">
        <v>106</v>
      </c>
      <c r="I43" s="17" t="s">
        <v>106</v>
      </c>
      <c r="J43" s="17"/>
      <c r="K43" s="17" t="s">
        <v>24</v>
      </c>
      <c r="L43" s="17" t="s">
        <v>35</v>
      </c>
      <c r="M43" s="17" t="s">
        <v>36</v>
      </c>
      <c r="N43" s="17"/>
      <c r="O43" t="s">
        <v>150</v>
      </c>
      <c r="P43" s="29">
        <v>46191</v>
      </c>
      <c r="Q43">
        <f t="shared" si="2"/>
        <v>0</v>
      </c>
      <c r="R43" s="31" t="str">
        <f t="shared" si="3"/>
        <v>Đúng hạn</v>
      </c>
    </row>
    <row r="44" spans="1:18" x14ac:dyDescent="0.45">
      <c r="A44" s="30" t="s">
        <v>223</v>
      </c>
      <c r="B44" s="29">
        <v>46209</v>
      </c>
      <c r="C44">
        <f t="shared" si="0"/>
        <v>2026</v>
      </c>
      <c r="D44">
        <f t="shared" si="1"/>
        <v>7</v>
      </c>
      <c r="E44" s="17" t="s">
        <v>107</v>
      </c>
      <c r="F44" s="17" t="s">
        <v>157</v>
      </c>
      <c r="G44" s="26">
        <v>2400000</v>
      </c>
      <c r="H44" s="17"/>
      <c r="I44" s="17"/>
      <c r="J44" s="17"/>
      <c r="K44" s="17"/>
      <c r="L44" s="17"/>
      <c r="M44" s="17"/>
      <c r="N44" s="17"/>
      <c r="O44" t="s">
        <v>150</v>
      </c>
      <c r="P44" s="29">
        <v>46209</v>
      </c>
      <c r="Q44">
        <f t="shared" si="2"/>
        <v>0</v>
      </c>
      <c r="R44" s="31" t="str">
        <f t="shared" si="3"/>
        <v>Đúng hạn</v>
      </c>
    </row>
    <row r="45" spans="1:18" x14ac:dyDescent="0.45">
      <c r="A45" s="30" t="s">
        <v>224</v>
      </c>
      <c r="B45" s="29">
        <v>46209</v>
      </c>
      <c r="C45">
        <f t="shared" si="0"/>
        <v>2026</v>
      </c>
      <c r="D45">
        <f t="shared" si="1"/>
        <v>7</v>
      </c>
      <c r="E45" s="17" t="s">
        <v>82</v>
      </c>
      <c r="F45" s="17" t="s">
        <v>154</v>
      </c>
      <c r="G45" s="26">
        <v>300000</v>
      </c>
      <c r="H45" s="17" t="s">
        <v>225</v>
      </c>
      <c r="I45" s="17" t="s">
        <v>226</v>
      </c>
      <c r="J45" s="17" t="s">
        <v>80</v>
      </c>
      <c r="K45" s="17" t="s">
        <v>34</v>
      </c>
      <c r="L45" s="17" t="s">
        <v>161</v>
      </c>
      <c r="M45" s="17" t="s">
        <v>21</v>
      </c>
      <c r="N45" s="17"/>
      <c r="O45" t="s">
        <v>150</v>
      </c>
      <c r="P45" s="29">
        <v>46209</v>
      </c>
      <c r="Q45">
        <f t="shared" si="2"/>
        <v>0</v>
      </c>
      <c r="R45" s="31" t="str">
        <f t="shared" si="3"/>
        <v>Đúng hạn</v>
      </c>
    </row>
    <row r="46" spans="1:18" x14ac:dyDescent="0.45">
      <c r="A46" s="30" t="s">
        <v>227</v>
      </c>
      <c r="B46" s="29">
        <v>46209</v>
      </c>
      <c r="C46">
        <f t="shared" si="0"/>
        <v>2026</v>
      </c>
      <c r="D46">
        <f t="shared" si="1"/>
        <v>7</v>
      </c>
      <c r="E46" s="17" t="s">
        <v>82</v>
      </c>
      <c r="F46" s="17" t="s">
        <v>164</v>
      </c>
      <c r="G46" s="26">
        <v>300000</v>
      </c>
      <c r="H46" s="17" t="s">
        <v>110</v>
      </c>
      <c r="I46" s="17" t="s">
        <v>111</v>
      </c>
      <c r="J46" s="17" t="s">
        <v>228</v>
      </c>
      <c r="K46" s="17" t="s">
        <v>24</v>
      </c>
      <c r="L46" s="17" t="s">
        <v>35</v>
      </c>
      <c r="M46" s="17" t="s">
        <v>36</v>
      </c>
      <c r="N46" s="17"/>
      <c r="O46" t="s">
        <v>150</v>
      </c>
      <c r="P46" s="29">
        <v>46209</v>
      </c>
      <c r="Q46">
        <f t="shared" si="2"/>
        <v>0</v>
      </c>
      <c r="R46" s="31" t="str">
        <f t="shared" si="3"/>
        <v>Đúng hạn</v>
      </c>
    </row>
    <row r="47" spans="1:18" x14ac:dyDescent="0.45">
      <c r="A47" s="30" t="s">
        <v>229</v>
      </c>
      <c r="B47" s="29">
        <v>46209</v>
      </c>
      <c r="C47">
        <f t="shared" si="0"/>
        <v>2026</v>
      </c>
      <c r="D47">
        <f t="shared" si="1"/>
        <v>7</v>
      </c>
      <c r="E47" s="17" t="s">
        <v>82</v>
      </c>
      <c r="F47" s="17" t="s">
        <v>164</v>
      </c>
      <c r="G47" s="26">
        <v>300000</v>
      </c>
      <c r="H47" s="17" t="s">
        <v>113</v>
      </c>
      <c r="I47" s="17" t="s">
        <v>113</v>
      </c>
      <c r="J47" s="17"/>
      <c r="K47" s="17" t="s">
        <v>24</v>
      </c>
      <c r="L47" s="17" t="s">
        <v>35</v>
      </c>
      <c r="M47" s="17" t="s">
        <v>36</v>
      </c>
      <c r="N47" s="17"/>
      <c r="O47" t="s">
        <v>150</v>
      </c>
      <c r="P47" s="29">
        <v>46209</v>
      </c>
      <c r="Q47">
        <f t="shared" si="2"/>
        <v>0</v>
      </c>
      <c r="R47" s="31" t="str">
        <f t="shared" si="3"/>
        <v>Đúng hạn</v>
      </c>
    </row>
    <row r="48" spans="1:18" x14ac:dyDescent="0.45">
      <c r="A48" s="30" t="s">
        <v>230</v>
      </c>
      <c r="B48" s="29">
        <v>46220</v>
      </c>
      <c r="C48">
        <f t="shared" si="0"/>
        <v>2026</v>
      </c>
      <c r="D48">
        <f t="shared" si="1"/>
        <v>7</v>
      </c>
      <c r="E48" s="17" t="s">
        <v>82</v>
      </c>
      <c r="F48" s="17" t="s">
        <v>164</v>
      </c>
      <c r="G48" s="26">
        <v>300000</v>
      </c>
      <c r="H48" s="17" t="s">
        <v>231</v>
      </c>
      <c r="I48" s="17" t="s">
        <v>231</v>
      </c>
      <c r="J48" s="17"/>
      <c r="K48" s="17" t="s">
        <v>24</v>
      </c>
      <c r="L48" s="17" t="s">
        <v>57</v>
      </c>
      <c r="M48" s="17" t="s">
        <v>25</v>
      </c>
      <c r="N48" s="17"/>
      <c r="O48" t="s">
        <v>150</v>
      </c>
      <c r="P48" s="29">
        <v>46220</v>
      </c>
      <c r="Q48">
        <f t="shared" si="2"/>
        <v>0</v>
      </c>
      <c r="R48" s="31" t="str">
        <f t="shared" si="3"/>
        <v>Đúng hạn</v>
      </c>
    </row>
    <row r="49" spans="1:18" x14ac:dyDescent="0.45">
      <c r="A49" s="32" t="s">
        <v>232</v>
      </c>
      <c r="B49" s="33">
        <v>46220</v>
      </c>
      <c r="C49" s="34">
        <f t="shared" si="0"/>
        <v>2026</v>
      </c>
      <c r="D49" s="34">
        <f t="shared" si="1"/>
        <v>7</v>
      </c>
      <c r="E49" s="25" t="s">
        <v>82</v>
      </c>
      <c r="F49" s="25" t="s">
        <v>164</v>
      </c>
      <c r="G49" s="27">
        <v>300000</v>
      </c>
      <c r="H49" s="25" t="s">
        <v>115</v>
      </c>
      <c r="I49" s="25" t="s">
        <v>115</v>
      </c>
      <c r="J49" s="25"/>
      <c r="K49" s="25" t="s">
        <v>24</v>
      </c>
      <c r="L49" s="25" t="s">
        <v>35</v>
      </c>
      <c r="M49" s="25" t="s">
        <v>36</v>
      </c>
      <c r="N49" s="25"/>
      <c r="O49" s="34" t="s">
        <v>150</v>
      </c>
      <c r="P49" s="33">
        <v>46220</v>
      </c>
      <c r="Q49" s="34">
        <f t="shared" si="2"/>
        <v>0</v>
      </c>
      <c r="R49" s="35" t="str">
        <f t="shared" si="3"/>
        <v>Đúng hạn</v>
      </c>
    </row>
  </sheetData>
  <conditionalFormatting sqref="R2:R497">
    <cfRule type="expression" dxfId="5" priority="1">
      <formula>R2="Chưa hoàn thành"</formula>
    </cfRule>
    <cfRule type="expression" dxfId="4" priority="2">
      <formula>R2="Xử lý chậm"</formula>
    </cfRule>
    <cfRule type="expression" dxfId="3" priority="3">
      <formula>R2="Đúng hạn"</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01"/>
  <sheetViews>
    <sheetView topLeftCell="R1" workbookViewId="0">
      <selection activeCell="U1" sqref="A1:XFD3"/>
    </sheetView>
  </sheetViews>
  <sheetFormatPr defaultRowHeight="14.25" x14ac:dyDescent="0.45"/>
  <cols>
    <col min="1" max="1" width="13" customWidth="1"/>
    <col min="2" max="2" width="14" customWidth="1"/>
    <col min="3" max="3" width="20" customWidth="1"/>
    <col min="4" max="4" width="16" customWidth="1"/>
    <col min="5" max="6" width="24" customWidth="1"/>
    <col min="7" max="7" width="12" customWidth="1"/>
    <col min="8" max="8" width="35" customWidth="1"/>
    <col min="9" max="9" width="22" customWidth="1"/>
    <col min="10" max="10" width="16" customWidth="1"/>
    <col min="11" max="12" width="28" customWidth="1"/>
    <col min="13" max="13" width="15" customWidth="1"/>
    <col min="14" max="14" width="20" customWidth="1"/>
    <col min="15" max="15" width="14" customWidth="1"/>
    <col min="16" max="16" width="20" customWidth="1"/>
    <col min="17" max="18" width="14" customWidth="1"/>
    <col min="19" max="19" width="32" customWidth="1"/>
    <col min="20" max="20" width="40" customWidth="1"/>
  </cols>
  <sheetData>
    <row r="1" spans="1:20" x14ac:dyDescent="0.45">
      <c r="A1" s="16" t="s">
        <v>132</v>
      </c>
      <c r="B1" s="16" t="s">
        <v>233</v>
      </c>
      <c r="C1" s="16" t="s">
        <v>234</v>
      </c>
      <c r="D1" s="16" t="s">
        <v>235</v>
      </c>
      <c r="E1" s="16" t="s">
        <v>139</v>
      </c>
      <c r="F1" s="16" t="s">
        <v>236</v>
      </c>
      <c r="G1" s="16" t="s">
        <v>140</v>
      </c>
      <c r="H1" s="16" t="s">
        <v>237</v>
      </c>
      <c r="I1" s="16" t="s">
        <v>136</v>
      </c>
      <c r="J1" s="16" t="s">
        <v>238</v>
      </c>
      <c r="K1" s="16" t="s">
        <v>239</v>
      </c>
      <c r="L1" s="16" t="s">
        <v>240</v>
      </c>
      <c r="M1" s="16" t="s">
        <v>241</v>
      </c>
      <c r="N1" s="16" t="s">
        <v>242</v>
      </c>
      <c r="O1" s="16" t="s">
        <v>243</v>
      </c>
      <c r="P1" s="16" t="s">
        <v>144</v>
      </c>
      <c r="Q1" s="16" t="s">
        <v>244</v>
      </c>
      <c r="R1" s="16" t="s">
        <v>245</v>
      </c>
      <c r="S1" s="16" t="s">
        <v>246</v>
      </c>
      <c r="T1" s="16" t="s">
        <v>247</v>
      </c>
    </row>
    <row r="2" spans="1:20" x14ac:dyDescent="0.45">
      <c r="A2" s="36" t="str">
        <f t="shared" ref="A2:A33" si="0">IF(B2="","","HS-"&amp;TEXT(ROW()-4,"000"))</f>
        <v/>
      </c>
      <c r="B2" s="40"/>
      <c r="C2" s="37"/>
      <c r="D2" s="37"/>
      <c r="E2" s="37"/>
      <c r="F2" s="37"/>
      <c r="G2" s="37"/>
      <c r="H2" s="43"/>
      <c r="I2" s="43"/>
      <c r="J2" s="44"/>
      <c r="K2" s="45"/>
      <c r="L2" s="45"/>
      <c r="M2" s="43"/>
      <c r="N2" s="43"/>
      <c r="O2" s="46" t="str">
        <f t="shared" ref="O2:O33" si="1">IF(B2="","",B2+IF(M2="Khẩn cấp",1,IF(M2="Cao",2,5)))</f>
        <v/>
      </c>
      <c r="P2" s="45"/>
      <c r="Q2" s="46"/>
      <c r="R2" s="46"/>
      <c r="S2" s="45"/>
      <c r="T2" s="47"/>
    </row>
    <row r="3" spans="1:20" x14ac:dyDescent="0.45">
      <c r="A3" s="30" t="str">
        <f t="shared" si="0"/>
        <v/>
      </c>
      <c r="B3" s="41"/>
      <c r="C3" s="38"/>
      <c r="D3" s="38"/>
      <c r="E3" s="38"/>
      <c r="F3" s="38"/>
      <c r="G3" s="38"/>
      <c r="H3" s="48"/>
      <c r="I3" s="48"/>
      <c r="J3" s="49"/>
      <c r="K3" s="17"/>
      <c r="L3" s="17"/>
      <c r="M3" s="48"/>
      <c r="N3" s="48"/>
      <c r="O3" s="50" t="str">
        <f t="shared" si="1"/>
        <v/>
      </c>
      <c r="P3" s="17"/>
      <c r="Q3" s="50"/>
      <c r="R3" s="50"/>
      <c r="S3" s="17"/>
      <c r="T3" s="21"/>
    </row>
    <row r="4" spans="1:20" x14ac:dyDescent="0.45">
      <c r="A4" s="30" t="str">
        <f t="shared" si="0"/>
        <v/>
      </c>
      <c r="B4" s="41"/>
      <c r="C4" s="38"/>
      <c r="D4" s="38"/>
      <c r="E4" s="38"/>
      <c r="F4" s="38"/>
      <c r="G4" s="38"/>
      <c r="H4" s="48"/>
      <c r="I4" s="48"/>
      <c r="J4" s="49"/>
      <c r="K4" s="17"/>
      <c r="L4" s="17"/>
      <c r="M4" s="48"/>
      <c r="N4" s="48"/>
      <c r="O4" s="50" t="str">
        <f t="shared" si="1"/>
        <v/>
      </c>
      <c r="P4" s="17"/>
      <c r="Q4" s="50"/>
      <c r="R4" s="50"/>
      <c r="S4" s="17"/>
      <c r="T4" s="21"/>
    </row>
    <row r="5" spans="1:20" x14ac:dyDescent="0.45">
      <c r="A5" s="30" t="str">
        <f t="shared" si="0"/>
        <v/>
      </c>
      <c r="B5" s="41"/>
      <c r="C5" s="38"/>
      <c r="D5" s="38"/>
      <c r="E5" s="38"/>
      <c r="F5" s="38"/>
      <c r="G5" s="38"/>
      <c r="H5" s="48"/>
      <c r="I5" s="48"/>
      <c r="J5" s="49"/>
      <c r="K5" s="17"/>
      <c r="L5" s="17"/>
      <c r="M5" s="48"/>
      <c r="N5" s="48"/>
      <c r="O5" s="50" t="str">
        <f t="shared" si="1"/>
        <v/>
      </c>
      <c r="P5" s="17"/>
      <c r="Q5" s="50"/>
      <c r="R5" s="50"/>
      <c r="S5" s="17"/>
      <c r="T5" s="21"/>
    </row>
    <row r="6" spans="1:20" x14ac:dyDescent="0.45">
      <c r="A6" s="30" t="str">
        <f t="shared" si="0"/>
        <v/>
      </c>
      <c r="B6" s="41"/>
      <c r="C6" s="38"/>
      <c r="D6" s="38"/>
      <c r="E6" s="38"/>
      <c r="F6" s="38"/>
      <c r="G6" s="38"/>
      <c r="H6" s="48"/>
      <c r="I6" s="48"/>
      <c r="J6" s="49"/>
      <c r="K6" s="17"/>
      <c r="L6" s="17"/>
      <c r="M6" s="48"/>
      <c r="N6" s="48"/>
      <c r="O6" s="50" t="str">
        <f t="shared" si="1"/>
        <v/>
      </c>
      <c r="P6" s="17"/>
      <c r="Q6" s="50"/>
      <c r="R6" s="50"/>
      <c r="S6" s="17"/>
      <c r="T6" s="21"/>
    </row>
    <row r="7" spans="1:20" x14ac:dyDescent="0.45">
      <c r="A7" s="30" t="str">
        <f t="shared" si="0"/>
        <v/>
      </c>
      <c r="B7" s="41"/>
      <c r="C7" s="38"/>
      <c r="D7" s="38"/>
      <c r="E7" s="38"/>
      <c r="F7" s="38"/>
      <c r="G7" s="38"/>
      <c r="H7" s="48"/>
      <c r="I7" s="48"/>
      <c r="J7" s="49"/>
      <c r="K7" s="17"/>
      <c r="L7" s="17"/>
      <c r="M7" s="48"/>
      <c r="N7" s="48"/>
      <c r="O7" s="50" t="str">
        <f t="shared" si="1"/>
        <v/>
      </c>
      <c r="P7" s="17"/>
      <c r="Q7" s="50"/>
      <c r="R7" s="50"/>
      <c r="S7" s="17"/>
      <c r="T7" s="21"/>
    </row>
    <row r="8" spans="1:20" x14ac:dyDescent="0.45">
      <c r="A8" s="30" t="str">
        <f t="shared" si="0"/>
        <v/>
      </c>
      <c r="B8" s="41"/>
      <c r="C8" s="38"/>
      <c r="D8" s="38"/>
      <c r="E8" s="38"/>
      <c r="F8" s="38"/>
      <c r="G8" s="38"/>
      <c r="H8" s="48"/>
      <c r="I8" s="48"/>
      <c r="J8" s="49"/>
      <c r="K8" s="17"/>
      <c r="L8" s="17"/>
      <c r="M8" s="48"/>
      <c r="N8" s="48"/>
      <c r="O8" s="50" t="str">
        <f t="shared" si="1"/>
        <v/>
      </c>
      <c r="P8" s="17"/>
      <c r="Q8" s="50"/>
      <c r="R8" s="50"/>
      <c r="S8" s="17"/>
      <c r="T8" s="21"/>
    </row>
    <row r="9" spans="1:20" x14ac:dyDescent="0.45">
      <c r="A9" s="30" t="str">
        <f t="shared" si="0"/>
        <v/>
      </c>
      <c r="B9" s="41"/>
      <c r="C9" s="38"/>
      <c r="D9" s="38"/>
      <c r="E9" s="38"/>
      <c r="F9" s="38"/>
      <c r="G9" s="38"/>
      <c r="H9" s="48"/>
      <c r="I9" s="48"/>
      <c r="J9" s="49"/>
      <c r="K9" s="17"/>
      <c r="L9" s="17"/>
      <c r="M9" s="48"/>
      <c r="N9" s="48"/>
      <c r="O9" s="50" t="str">
        <f t="shared" si="1"/>
        <v/>
      </c>
      <c r="P9" s="17"/>
      <c r="Q9" s="50"/>
      <c r="R9" s="50"/>
      <c r="S9" s="17"/>
      <c r="T9" s="21"/>
    </row>
    <row r="10" spans="1:20" x14ac:dyDescent="0.45">
      <c r="A10" s="30" t="str">
        <f t="shared" si="0"/>
        <v/>
      </c>
      <c r="B10" s="41"/>
      <c r="C10" s="38"/>
      <c r="D10" s="38"/>
      <c r="E10" s="38"/>
      <c r="F10" s="38"/>
      <c r="G10" s="38"/>
      <c r="H10" s="48"/>
      <c r="I10" s="48"/>
      <c r="J10" s="49"/>
      <c r="K10" s="17"/>
      <c r="L10" s="17"/>
      <c r="M10" s="48"/>
      <c r="N10" s="48"/>
      <c r="O10" s="50" t="str">
        <f t="shared" si="1"/>
        <v/>
      </c>
      <c r="P10" s="17"/>
      <c r="Q10" s="50"/>
      <c r="R10" s="50"/>
      <c r="S10" s="17"/>
      <c r="T10" s="21"/>
    </row>
    <row r="11" spans="1:20" x14ac:dyDescent="0.45">
      <c r="A11" s="30" t="str">
        <f t="shared" si="0"/>
        <v/>
      </c>
      <c r="B11" s="41"/>
      <c r="C11" s="38"/>
      <c r="D11" s="38"/>
      <c r="E11" s="38"/>
      <c r="F11" s="38"/>
      <c r="G11" s="38"/>
      <c r="H11" s="48"/>
      <c r="I11" s="48"/>
      <c r="J11" s="49"/>
      <c r="K11" s="17"/>
      <c r="L11" s="17"/>
      <c r="M11" s="48"/>
      <c r="N11" s="48"/>
      <c r="O11" s="50" t="str">
        <f t="shared" si="1"/>
        <v/>
      </c>
      <c r="P11" s="17"/>
      <c r="Q11" s="50"/>
      <c r="R11" s="50"/>
      <c r="S11" s="17"/>
      <c r="T11" s="21"/>
    </row>
    <row r="12" spans="1:20" x14ac:dyDescent="0.45">
      <c r="A12" s="30" t="str">
        <f t="shared" si="0"/>
        <v/>
      </c>
      <c r="B12" s="41"/>
      <c r="C12" s="38"/>
      <c r="D12" s="38"/>
      <c r="E12" s="38"/>
      <c r="F12" s="38"/>
      <c r="G12" s="38"/>
      <c r="H12" s="48"/>
      <c r="I12" s="48"/>
      <c r="J12" s="49"/>
      <c r="K12" s="17"/>
      <c r="L12" s="17"/>
      <c r="M12" s="48"/>
      <c r="N12" s="48"/>
      <c r="O12" s="50" t="str">
        <f t="shared" si="1"/>
        <v/>
      </c>
      <c r="P12" s="17"/>
      <c r="Q12" s="50"/>
      <c r="R12" s="50"/>
      <c r="S12" s="17"/>
      <c r="T12" s="21"/>
    </row>
    <row r="13" spans="1:20" x14ac:dyDescent="0.45">
      <c r="A13" s="30" t="str">
        <f t="shared" si="0"/>
        <v/>
      </c>
      <c r="B13" s="41"/>
      <c r="C13" s="38"/>
      <c r="D13" s="38"/>
      <c r="E13" s="38"/>
      <c r="F13" s="38"/>
      <c r="G13" s="38"/>
      <c r="H13" s="48"/>
      <c r="I13" s="48"/>
      <c r="J13" s="49"/>
      <c r="K13" s="17"/>
      <c r="L13" s="17"/>
      <c r="M13" s="48"/>
      <c r="N13" s="48"/>
      <c r="O13" s="50" t="str">
        <f t="shared" si="1"/>
        <v/>
      </c>
      <c r="P13" s="17"/>
      <c r="Q13" s="50"/>
      <c r="R13" s="50"/>
      <c r="S13" s="17"/>
      <c r="T13" s="21"/>
    </row>
    <row r="14" spans="1:20" x14ac:dyDescent="0.45">
      <c r="A14" s="30" t="str">
        <f t="shared" si="0"/>
        <v/>
      </c>
      <c r="B14" s="41"/>
      <c r="C14" s="38"/>
      <c r="D14" s="38"/>
      <c r="E14" s="38"/>
      <c r="F14" s="38"/>
      <c r="G14" s="38"/>
      <c r="H14" s="48"/>
      <c r="I14" s="48"/>
      <c r="J14" s="49"/>
      <c r="K14" s="17"/>
      <c r="L14" s="17"/>
      <c r="M14" s="48"/>
      <c r="N14" s="48"/>
      <c r="O14" s="50" t="str">
        <f t="shared" si="1"/>
        <v/>
      </c>
      <c r="P14" s="17"/>
      <c r="Q14" s="50"/>
      <c r="R14" s="50"/>
      <c r="S14" s="17"/>
      <c r="T14" s="21"/>
    </row>
    <row r="15" spans="1:20" x14ac:dyDescent="0.45">
      <c r="A15" s="30" t="str">
        <f t="shared" si="0"/>
        <v/>
      </c>
      <c r="B15" s="41"/>
      <c r="C15" s="38"/>
      <c r="D15" s="38"/>
      <c r="E15" s="38"/>
      <c r="F15" s="38"/>
      <c r="G15" s="38"/>
      <c r="H15" s="48"/>
      <c r="I15" s="48"/>
      <c r="J15" s="49"/>
      <c r="K15" s="17"/>
      <c r="L15" s="17"/>
      <c r="M15" s="48"/>
      <c r="N15" s="48"/>
      <c r="O15" s="50" t="str">
        <f t="shared" si="1"/>
        <v/>
      </c>
      <c r="P15" s="17"/>
      <c r="Q15" s="50"/>
      <c r="R15" s="50"/>
      <c r="S15" s="17"/>
      <c r="T15" s="21"/>
    </row>
    <row r="16" spans="1:20" x14ac:dyDescent="0.45">
      <c r="A16" s="30" t="str">
        <f t="shared" si="0"/>
        <v/>
      </c>
      <c r="B16" s="41"/>
      <c r="C16" s="38"/>
      <c r="D16" s="38"/>
      <c r="E16" s="38"/>
      <c r="F16" s="38"/>
      <c r="G16" s="38"/>
      <c r="H16" s="48"/>
      <c r="I16" s="48"/>
      <c r="J16" s="49"/>
      <c r="K16" s="17"/>
      <c r="L16" s="17"/>
      <c r="M16" s="48"/>
      <c r="N16" s="48"/>
      <c r="O16" s="50" t="str">
        <f t="shared" si="1"/>
        <v/>
      </c>
      <c r="P16" s="17"/>
      <c r="Q16" s="50"/>
      <c r="R16" s="50"/>
      <c r="S16" s="17"/>
      <c r="T16" s="21"/>
    </row>
    <row r="17" spans="1:20" x14ac:dyDescent="0.45">
      <c r="A17" s="30" t="str">
        <f t="shared" si="0"/>
        <v/>
      </c>
      <c r="B17" s="41"/>
      <c r="C17" s="38"/>
      <c r="D17" s="38"/>
      <c r="E17" s="38"/>
      <c r="F17" s="38"/>
      <c r="G17" s="38"/>
      <c r="H17" s="48"/>
      <c r="I17" s="48"/>
      <c r="J17" s="49"/>
      <c r="K17" s="17"/>
      <c r="L17" s="17"/>
      <c r="M17" s="48"/>
      <c r="N17" s="48"/>
      <c r="O17" s="50" t="str">
        <f t="shared" si="1"/>
        <v/>
      </c>
      <c r="P17" s="17"/>
      <c r="Q17" s="50"/>
      <c r="R17" s="50"/>
      <c r="S17" s="17"/>
      <c r="T17" s="21"/>
    </row>
    <row r="18" spans="1:20" x14ac:dyDescent="0.45">
      <c r="A18" s="30" t="str">
        <f t="shared" si="0"/>
        <v/>
      </c>
      <c r="B18" s="41"/>
      <c r="C18" s="38"/>
      <c r="D18" s="38"/>
      <c r="E18" s="38"/>
      <c r="F18" s="38"/>
      <c r="G18" s="38"/>
      <c r="H18" s="48"/>
      <c r="I18" s="48"/>
      <c r="J18" s="49"/>
      <c r="K18" s="17"/>
      <c r="L18" s="17"/>
      <c r="M18" s="48"/>
      <c r="N18" s="48"/>
      <c r="O18" s="50" t="str">
        <f t="shared" si="1"/>
        <v/>
      </c>
      <c r="P18" s="17"/>
      <c r="Q18" s="50"/>
      <c r="R18" s="50"/>
      <c r="S18" s="17"/>
      <c r="T18" s="21"/>
    </row>
    <row r="19" spans="1:20" x14ac:dyDescent="0.45">
      <c r="A19" s="30" t="str">
        <f t="shared" si="0"/>
        <v/>
      </c>
      <c r="B19" s="41"/>
      <c r="C19" s="38"/>
      <c r="D19" s="38"/>
      <c r="E19" s="38"/>
      <c r="F19" s="38"/>
      <c r="G19" s="38"/>
      <c r="H19" s="48"/>
      <c r="I19" s="48"/>
      <c r="J19" s="49"/>
      <c r="K19" s="17"/>
      <c r="L19" s="17"/>
      <c r="M19" s="48"/>
      <c r="N19" s="48"/>
      <c r="O19" s="50" t="str">
        <f t="shared" si="1"/>
        <v/>
      </c>
      <c r="P19" s="17"/>
      <c r="Q19" s="50"/>
      <c r="R19" s="50"/>
      <c r="S19" s="17"/>
      <c r="T19" s="21"/>
    </row>
    <row r="20" spans="1:20" x14ac:dyDescent="0.45">
      <c r="A20" s="30" t="str">
        <f t="shared" si="0"/>
        <v/>
      </c>
      <c r="B20" s="41"/>
      <c r="C20" s="38"/>
      <c r="D20" s="38"/>
      <c r="E20" s="38"/>
      <c r="F20" s="38"/>
      <c r="G20" s="38"/>
      <c r="H20" s="48"/>
      <c r="I20" s="48"/>
      <c r="J20" s="49"/>
      <c r="K20" s="17"/>
      <c r="L20" s="17"/>
      <c r="M20" s="48"/>
      <c r="N20" s="48"/>
      <c r="O20" s="50" t="str">
        <f t="shared" si="1"/>
        <v/>
      </c>
      <c r="P20" s="17"/>
      <c r="Q20" s="50"/>
      <c r="R20" s="50"/>
      <c r="S20" s="17"/>
      <c r="T20" s="21"/>
    </row>
    <row r="21" spans="1:20" x14ac:dyDescent="0.45">
      <c r="A21" s="30" t="str">
        <f t="shared" si="0"/>
        <v/>
      </c>
      <c r="B21" s="41"/>
      <c r="C21" s="38"/>
      <c r="D21" s="38"/>
      <c r="E21" s="38"/>
      <c r="F21" s="38"/>
      <c r="G21" s="38"/>
      <c r="H21" s="48"/>
      <c r="I21" s="48"/>
      <c r="J21" s="49"/>
      <c r="K21" s="17"/>
      <c r="L21" s="17"/>
      <c r="M21" s="48"/>
      <c r="N21" s="48"/>
      <c r="O21" s="50" t="str">
        <f t="shared" si="1"/>
        <v/>
      </c>
      <c r="P21" s="17"/>
      <c r="Q21" s="50"/>
      <c r="R21" s="50"/>
      <c r="S21" s="17"/>
      <c r="T21" s="21"/>
    </row>
    <row r="22" spans="1:20" x14ac:dyDescent="0.45">
      <c r="A22" s="30" t="str">
        <f t="shared" si="0"/>
        <v/>
      </c>
      <c r="B22" s="41"/>
      <c r="C22" s="38"/>
      <c r="D22" s="38"/>
      <c r="E22" s="38"/>
      <c r="F22" s="38"/>
      <c r="G22" s="38"/>
      <c r="H22" s="48"/>
      <c r="I22" s="48"/>
      <c r="J22" s="49"/>
      <c r="K22" s="17"/>
      <c r="L22" s="17"/>
      <c r="M22" s="48"/>
      <c r="N22" s="48"/>
      <c r="O22" s="50" t="str">
        <f t="shared" si="1"/>
        <v/>
      </c>
      <c r="P22" s="17"/>
      <c r="Q22" s="50"/>
      <c r="R22" s="50"/>
      <c r="S22" s="17"/>
      <c r="T22" s="21"/>
    </row>
    <row r="23" spans="1:20" x14ac:dyDescent="0.45">
      <c r="A23" s="30" t="str">
        <f t="shared" si="0"/>
        <v/>
      </c>
      <c r="B23" s="41"/>
      <c r="C23" s="38"/>
      <c r="D23" s="38"/>
      <c r="E23" s="38"/>
      <c r="F23" s="38"/>
      <c r="G23" s="38"/>
      <c r="H23" s="48"/>
      <c r="I23" s="48"/>
      <c r="J23" s="49"/>
      <c r="K23" s="17"/>
      <c r="L23" s="17"/>
      <c r="M23" s="48"/>
      <c r="N23" s="48"/>
      <c r="O23" s="50" t="str">
        <f t="shared" si="1"/>
        <v/>
      </c>
      <c r="P23" s="17"/>
      <c r="Q23" s="50"/>
      <c r="R23" s="50"/>
      <c r="S23" s="17"/>
      <c r="T23" s="21"/>
    </row>
    <row r="24" spans="1:20" x14ac:dyDescent="0.45">
      <c r="A24" s="30" t="str">
        <f t="shared" si="0"/>
        <v/>
      </c>
      <c r="B24" s="41"/>
      <c r="C24" s="38"/>
      <c r="D24" s="38"/>
      <c r="E24" s="38"/>
      <c r="F24" s="38"/>
      <c r="G24" s="38"/>
      <c r="H24" s="48"/>
      <c r="I24" s="48"/>
      <c r="J24" s="49"/>
      <c r="K24" s="17"/>
      <c r="L24" s="17"/>
      <c r="M24" s="48"/>
      <c r="N24" s="48"/>
      <c r="O24" s="50" t="str">
        <f t="shared" si="1"/>
        <v/>
      </c>
      <c r="P24" s="17"/>
      <c r="Q24" s="50"/>
      <c r="R24" s="50"/>
      <c r="S24" s="17"/>
      <c r="T24" s="21"/>
    </row>
    <row r="25" spans="1:20" x14ac:dyDescent="0.45">
      <c r="A25" s="30" t="str">
        <f t="shared" si="0"/>
        <v/>
      </c>
      <c r="B25" s="41"/>
      <c r="C25" s="38"/>
      <c r="D25" s="38"/>
      <c r="E25" s="38"/>
      <c r="F25" s="38"/>
      <c r="G25" s="38"/>
      <c r="H25" s="48"/>
      <c r="I25" s="48"/>
      <c r="J25" s="49"/>
      <c r="K25" s="17"/>
      <c r="L25" s="17"/>
      <c r="M25" s="48"/>
      <c r="N25" s="48"/>
      <c r="O25" s="50" t="str">
        <f t="shared" si="1"/>
        <v/>
      </c>
      <c r="P25" s="17"/>
      <c r="Q25" s="50"/>
      <c r="R25" s="50"/>
      <c r="S25" s="17"/>
      <c r="T25" s="21"/>
    </row>
    <row r="26" spans="1:20" x14ac:dyDescent="0.45">
      <c r="A26" s="30" t="str">
        <f t="shared" si="0"/>
        <v/>
      </c>
      <c r="B26" s="41"/>
      <c r="C26" s="38"/>
      <c r="D26" s="38"/>
      <c r="E26" s="38"/>
      <c r="F26" s="38"/>
      <c r="G26" s="38"/>
      <c r="H26" s="48"/>
      <c r="I26" s="48"/>
      <c r="J26" s="49"/>
      <c r="K26" s="17"/>
      <c r="L26" s="17"/>
      <c r="M26" s="48"/>
      <c r="N26" s="48"/>
      <c r="O26" s="50" t="str">
        <f t="shared" si="1"/>
        <v/>
      </c>
      <c r="P26" s="17"/>
      <c r="Q26" s="50"/>
      <c r="R26" s="50"/>
      <c r="S26" s="17"/>
      <c r="T26" s="21"/>
    </row>
    <row r="27" spans="1:20" x14ac:dyDescent="0.45">
      <c r="A27" s="30" t="str">
        <f t="shared" si="0"/>
        <v/>
      </c>
      <c r="B27" s="41"/>
      <c r="C27" s="38"/>
      <c r="D27" s="38"/>
      <c r="E27" s="38"/>
      <c r="F27" s="38"/>
      <c r="G27" s="38"/>
      <c r="H27" s="48"/>
      <c r="I27" s="48"/>
      <c r="J27" s="49"/>
      <c r="K27" s="17"/>
      <c r="L27" s="17"/>
      <c r="M27" s="48"/>
      <c r="N27" s="48"/>
      <c r="O27" s="50" t="str">
        <f t="shared" si="1"/>
        <v/>
      </c>
      <c r="P27" s="17"/>
      <c r="Q27" s="50"/>
      <c r="R27" s="50"/>
      <c r="S27" s="17"/>
      <c r="T27" s="21"/>
    </row>
    <row r="28" spans="1:20" x14ac:dyDescent="0.45">
      <c r="A28" s="30" t="str">
        <f t="shared" si="0"/>
        <v/>
      </c>
      <c r="B28" s="41"/>
      <c r="C28" s="38"/>
      <c r="D28" s="38"/>
      <c r="E28" s="38"/>
      <c r="F28" s="38"/>
      <c r="G28" s="38"/>
      <c r="H28" s="48"/>
      <c r="I28" s="48"/>
      <c r="J28" s="49"/>
      <c r="K28" s="17"/>
      <c r="L28" s="17"/>
      <c r="M28" s="48"/>
      <c r="N28" s="48"/>
      <c r="O28" s="50" t="str">
        <f t="shared" si="1"/>
        <v/>
      </c>
      <c r="P28" s="17"/>
      <c r="Q28" s="50"/>
      <c r="R28" s="50"/>
      <c r="S28" s="17"/>
      <c r="T28" s="21"/>
    </row>
    <row r="29" spans="1:20" x14ac:dyDescent="0.45">
      <c r="A29" s="30" t="str">
        <f t="shared" si="0"/>
        <v/>
      </c>
      <c r="B29" s="41"/>
      <c r="C29" s="38"/>
      <c r="D29" s="38"/>
      <c r="E29" s="38"/>
      <c r="F29" s="38"/>
      <c r="G29" s="38"/>
      <c r="H29" s="48"/>
      <c r="I29" s="48"/>
      <c r="J29" s="49"/>
      <c r="K29" s="17"/>
      <c r="L29" s="17"/>
      <c r="M29" s="48"/>
      <c r="N29" s="48"/>
      <c r="O29" s="50" t="str">
        <f t="shared" si="1"/>
        <v/>
      </c>
      <c r="P29" s="17"/>
      <c r="Q29" s="50"/>
      <c r="R29" s="50"/>
      <c r="S29" s="17"/>
      <c r="T29" s="21"/>
    </row>
    <row r="30" spans="1:20" x14ac:dyDescent="0.45">
      <c r="A30" s="30" t="str">
        <f t="shared" si="0"/>
        <v/>
      </c>
      <c r="B30" s="41"/>
      <c r="C30" s="38"/>
      <c r="D30" s="38"/>
      <c r="E30" s="38"/>
      <c r="F30" s="38"/>
      <c r="G30" s="38"/>
      <c r="H30" s="48"/>
      <c r="I30" s="48"/>
      <c r="J30" s="49"/>
      <c r="K30" s="17"/>
      <c r="L30" s="17"/>
      <c r="M30" s="48"/>
      <c r="N30" s="48"/>
      <c r="O30" s="50" t="str">
        <f t="shared" si="1"/>
        <v/>
      </c>
      <c r="P30" s="17"/>
      <c r="Q30" s="50"/>
      <c r="R30" s="50"/>
      <c r="S30" s="17"/>
      <c r="T30" s="21"/>
    </row>
    <row r="31" spans="1:20" x14ac:dyDescent="0.45">
      <c r="A31" s="30" t="str">
        <f t="shared" si="0"/>
        <v/>
      </c>
      <c r="B31" s="41"/>
      <c r="C31" s="38"/>
      <c r="D31" s="38"/>
      <c r="E31" s="38"/>
      <c r="F31" s="38"/>
      <c r="G31" s="38"/>
      <c r="H31" s="48"/>
      <c r="I31" s="48"/>
      <c r="J31" s="49"/>
      <c r="K31" s="17"/>
      <c r="L31" s="17"/>
      <c r="M31" s="48"/>
      <c r="N31" s="48"/>
      <c r="O31" s="50" t="str">
        <f t="shared" si="1"/>
        <v/>
      </c>
      <c r="P31" s="17"/>
      <c r="Q31" s="50"/>
      <c r="R31" s="50"/>
      <c r="S31" s="17"/>
      <c r="T31" s="21"/>
    </row>
    <row r="32" spans="1:20" x14ac:dyDescent="0.45">
      <c r="A32" s="30" t="str">
        <f t="shared" si="0"/>
        <v/>
      </c>
      <c r="B32" s="41"/>
      <c r="C32" s="38"/>
      <c r="D32" s="38"/>
      <c r="E32" s="38"/>
      <c r="F32" s="38"/>
      <c r="G32" s="38"/>
      <c r="H32" s="48"/>
      <c r="I32" s="48"/>
      <c r="J32" s="49"/>
      <c r="K32" s="17"/>
      <c r="L32" s="17"/>
      <c r="M32" s="48"/>
      <c r="N32" s="48"/>
      <c r="O32" s="50" t="str">
        <f t="shared" si="1"/>
        <v/>
      </c>
      <c r="P32" s="17"/>
      <c r="Q32" s="50"/>
      <c r="R32" s="50"/>
      <c r="S32" s="17"/>
      <c r="T32" s="21"/>
    </row>
    <row r="33" spans="1:20" x14ac:dyDescent="0.45">
      <c r="A33" s="30" t="str">
        <f t="shared" si="0"/>
        <v/>
      </c>
      <c r="B33" s="41"/>
      <c r="C33" s="38"/>
      <c r="D33" s="38"/>
      <c r="E33" s="38"/>
      <c r="F33" s="38"/>
      <c r="G33" s="38"/>
      <c r="H33" s="48"/>
      <c r="I33" s="48"/>
      <c r="J33" s="49"/>
      <c r="K33" s="17"/>
      <c r="L33" s="17"/>
      <c r="M33" s="48"/>
      <c r="N33" s="48"/>
      <c r="O33" s="50" t="str">
        <f t="shared" si="1"/>
        <v/>
      </c>
      <c r="P33" s="17"/>
      <c r="Q33" s="50"/>
      <c r="R33" s="50"/>
      <c r="S33" s="17"/>
      <c r="T33" s="21"/>
    </row>
    <row r="34" spans="1:20" x14ac:dyDescent="0.45">
      <c r="A34" s="30" t="str">
        <f t="shared" ref="A34:A65" si="2">IF(B34="","","HS-"&amp;TEXT(ROW()-4,"000"))</f>
        <v/>
      </c>
      <c r="B34" s="41"/>
      <c r="C34" s="38"/>
      <c r="D34" s="38"/>
      <c r="E34" s="38"/>
      <c r="F34" s="38"/>
      <c r="G34" s="38"/>
      <c r="H34" s="48"/>
      <c r="I34" s="48"/>
      <c r="J34" s="49"/>
      <c r="K34" s="17"/>
      <c r="L34" s="17"/>
      <c r="M34" s="48"/>
      <c r="N34" s="48"/>
      <c r="O34" s="50" t="str">
        <f t="shared" ref="O34:O65" si="3">IF(B34="","",B34+IF(M34="Khẩn cấp",1,IF(M34="Cao",2,5)))</f>
        <v/>
      </c>
      <c r="P34" s="17"/>
      <c r="Q34" s="50"/>
      <c r="R34" s="50"/>
      <c r="S34" s="17"/>
      <c r="T34" s="21"/>
    </row>
    <row r="35" spans="1:20" x14ac:dyDescent="0.45">
      <c r="A35" s="30" t="str">
        <f t="shared" si="2"/>
        <v/>
      </c>
      <c r="B35" s="41"/>
      <c r="C35" s="38"/>
      <c r="D35" s="38"/>
      <c r="E35" s="38"/>
      <c r="F35" s="38"/>
      <c r="G35" s="38"/>
      <c r="H35" s="48"/>
      <c r="I35" s="48"/>
      <c r="J35" s="49"/>
      <c r="K35" s="17"/>
      <c r="L35" s="17"/>
      <c r="M35" s="48"/>
      <c r="N35" s="48"/>
      <c r="O35" s="50" t="str">
        <f t="shared" si="3"/>
        <v/>
      </c>
      <c r="P35" s="17"/>
      <c r="Q35" s="50"/>
      <c r="R35" s="50"/>
      <c r="S35" s="17"/>
      <c r="T35" s="21"/>
    </row>
    <row r="36" spans="1:20" x14ac:dyDescent="0.45">
      <c r="A36" s="30" t="str">
        <f t="shared" si="2"/>
        <v/>
      </c>
      <c r="B36" s="41"/>
      <c r="C36" s="38"/>
      <c r="D36" s="38"/>
      <c r="E36" s="38"/>
      <c r="F36" s="38"/>
      <c r="G36" s="38"/>
      <c r="H36" s="48"/>
      <c r="I36" s="48"/>
      <c r="J36" s="49"/>
      <c r="K36" s="17"/>
      <c r="L36" s="17"/>
      <c r="M36" s="48"/>
      <c r="N36" s="48"/>
      <c r="O36" s="50" t="str">
        <f t="shared" si="3"/>
        <v/>
      </c>
      <c r="P36" s="17"/>
      <c r="Q36" s="50"/>
      <c r="R36" s="50"/>
      <c r="S36" s="17"/>
      <c r="T36" s="21"/>
    </row>
    <row r="37" spans="1:20" x14ac:dyDescent="0.45">
      <c r="A37" s="30" t="str">
        <f t="shared" si="2"/>
        <v/>
      </c>
      <c r="B37" s="41"/>
      <c r="C37" s="38"/>
      <c r="D37" s="38"/>
      <c r="E37" s="38"/>
      <c r="F37" s="38"/>
      <c r="G37" s="38"/>
      <c r="H37" s="48"/>
      <c r="I37" s="48"/>
      <c r="J37" s="49"/>
      <c r="K37" s="17"/>
      <c r="L37" s="17"/>
      <c r="M37" s="48"/>
      <c r="N37" s="48"/>
      <c r="O37" s="50" t="str">
        <f t="shared" si="3"/>
        <v/>
      </c>
      <c r="P37" s="17"/>
      <c r="Q37" s="50"/>
      <c r="R37" s="50"/>
      <c r="S37" s="17"/>
      <c r="T37" s="21"/>
    </row>
    <row r="38" spans="1:20" x14ac:dyDescent="0.45">
      <c r="A38" s="30" t="str">
        <f t="shared" si="2"/>
        <v/>
      </c>
      <c r="B38" s="41"/>
      <c r="C38" s="38"/>
      <c r="D38" s="38"/>
      <c r="E38" s="38"/>
      <c r="F38" s="38"/>
      <c r="G38" s="38"/>
      <c r="H38" s="48"/>
      <c r="I38" s="48"/>
      <c r="J38" s="49"/>
      <c r="K38" s="17"/>
      <c r="L38" s="17"/>
      <c r="M38" s="48"/>
      <c r="N38" s="48"/>
      <c r="O38" s="50" t="str">
        <f t="shared" si="3"/>
        <v/>
      </c>
      <c r="P38" s="17"/>
      <c r="Q38" s="50"/>
      <c r="R38" s="50"/>
      <c r="S38" s="17"/>
      <c r="T38" s="21"/>
    </row>
    <row r="39" spans="1:20" x14ac:dyDescent="0.45">
      <c r="A39" s="30" t="str">
        <f t="shared" si="2"/>
        <v/>
      </c>
      <c r="B39" s="41"/>
      <c r="C39" s="38"/>
      <c r="D39" s="38"/>
      <c r="E39" s="38"/>
      <c r="F39" s="38"/>
      <c r="G39" s="38"/>
      <c r="H39" s="48"/>
      <c r="I39" s="48"/>
      <c r="J39" s="49"/>
      <c r="K39" s="17"/>
      <c r="L39" s="17"/>
      <c r="M39" s="48"/>
      <c r="N39" s="48"/>
      <c r="O39" s="50" t="str">
        <f t="shared" si="3"/>
        <v/>
      </c>
      <c r="P39" s="17"/>
      <c r="Q39" s="50"/>
      <c r="R39" s="50"/>
      <c r="S39" s="17"/>
      <c r="T39" s="21"/>
    </row>
    <row r="40" spans="1:20" x14ac:dyDescent="0.45">
      <c r="A40" s="30" t="str">
        <f t="shared" si="2"/>
        <v/>
      </c>
      <c r="B40" s="41"/>
      <c r="C40" s="38"/>
      <c r="D40" s="38"/>
      <c r="E40" s="38"/>
      <c r="F40" s="38"/>
      <c r="G40" s="38"/>
      <c r="H40" s="48"/>
      <c r="I40" s="48"/>
      <c r="J40" s="49"/>
      <c r="K40" s="17"/>
      <c r="L40" s="17"/>
      <c r="M40" s="48"/>
      <c r="N40" s="48"/>
      <c r="O40" s="50" t="str">
        <f t="shared" si="3"/>
        <v/>
      </c>
      <c r="P40" s="17"/>
      <c r="Q40" s="50"/>
      <c r="R40" s="50"/>
      <c r="S40" s="17"/>
      <c r="T40" s="21"/>
    </row>
    <row r="41" spans="1:20" x14ac:dyDescent="0.45">
      <c r="A41" s="30" t="str">
        <f t="shared" si="2"/>
        <v/>
      </c>
      <c r="B41" s="41"/>
      <c r="C41" s="38"/>
      <c r="D41" s="38"/>
      <c r="E41" s="38"/>
      <c r="F41" s="38"/>
      <c r="G41" s="38"/>
      <c r="H41" s="48"/>
      <c r="I41" s="48"/>
      <c r="J41" s="49"/>
      <c r="K41" s="17"/>
      <c r="L41" s="17"/>
      <c r="M41" s="48"/>
      <c r="N41" s="48"/>
      <c r="O41" s="50" t="str">
        <f t="shared" si="3"/>
        <v/>
      </c>
      <c r="P41" s="17"/>
      <c r="Q41" s="50"/>
      <c r="R41" s="50"/>
      <c r="S41" s="17"/>
      <c r="T41" s="21"/>
    </row>
    <row r="42" spans="1:20" x14ac:dyDescent="0.45">
      <c r="A42" s="30" t="str">
        <f t="shared" si="2"/>
        <v/>
      </c>
      <c r="B42" s="41"/>
      <c r="C42" s="38"/>
      <c r="D42" s="38"/>
      <c r="E42" s="38"/>
      <c r="F42" s="38"/>
      <c r="G42" s="38"/>
      <c r="H42" s="48"/>
      <c r="I42" s="48"/>
      <c r="J42" s="49"/>
      <c r="K42" s="17"/>
      <c r="L42" s="17"/>
      <c r="M42" s="48"/>
      <c r="N42" s="48"/>
      <c r="O42" s="50" t="str">
        <f t="shared" si="3"/>
        <v/>
      </c>
      <c r="P42" s="17"/>
      <c r="Q42" s="50"/>
      <c r="R42" s="50"/>
      <c r="S42" s="17"/>
      <c r="T42" s="21"/>
    </row>
    <row r="43" spans="1:20" x14ac:dyDescent="0.45">
      <c r="A43" s="30" t="str">
        <f t="shared" si="2"/>
        <v/>
      </c>
      <c r="B43" s="41"/>
      <c r="C43" s="38"/>
      <c r="D43" s="38"/>
      <c r="E43" s="38"/>
      <c r="F43" s="38"/>
      <c r="G43" s="38"/>
      <c r="H43" s="48"/>
      <c r="I43" s="48"/>
      <c r="J43" s="49"/>
      <c r="K43" s="17"/>
      <c r="L43" s="17"/>
      <c r="M43" s="48"/>
      <c r="N43" s="48"/>
      <c r="O43" s="50" t="str">
        <f t="shared" si="3"/>
        <v/>
      </c>
      <c r="P43" s="17"/>
      <c r="Q43" s="50"/>
      <c r="R43" s="50"/>
      <c r="S43" s="17"/>
      <c r="T43" s="21"/>
    </row>
    <row r="44" spans="1:20" x14ac:dyDescent="0.45">
      <c r="A44" s="30" t="str">
        <f t="shared" si="2"/>
        <v/>
      </c>
      <c r="B44" s="41"/>
      <c r="C44" s="38"/>
      <c r="D44" s="38"/>
      <c r="E44" s="38"/>
      <c r="F44" s="38"/>
      <c r="G44" s="38"/>
      <c r="H44" s="48"/>
      <c r="I44" s="48"/>
      <c r="J44" s="49"/>
      <c r="K44" s="17"/>
      <c r="L44" s="17"/>
      <c r="M44" s="48"/>
      <c r="N44" s="48"/>
      <c r="O44" s="50" t="str">
        <f t="shared" si="3"/>
        <v/>
      </c>
      <c r="P44" s="17"/>
      <c r="Q44" s="50"/>
      <c r="R44" s="50"/>
      <c r="S44" s="17"/>
      <c r="T44" s="21"/>
    </row>
    <row r="45" spans="1:20" x14ac:dyDescent="0.45">
      <c r="A45" s="30" t="str">
        <f t="shared" si="2"/>
        <v/>
      </c>
      <c r="B45" s="41"/>
      <c r="C45" s="38"/>
      <c r="D45" s="38"/>
      <c r="E45" s="38"/>
      <c r="F45" s="38"/>
      <c r="G45" s="38"/>
      <c r="H45" s="48"/>
      <c r="I45" s="48"/>
      <c r="J45" s="49"/>
      <c r="K45" s="17"/>
      <c r="L45" s="17"/>
      <c r="M45" s="48"/>
      <c r="N45" s="48"/>
      <c r="O45" s="50" t="str">
        <f t="shared" si="3"/>
        <v/>
      </c>
      <c r="P45" s="17"/>
      <c r="Q45" s="50"/>
      <c r="R45" s="50"/>
      <c r="S45" s="17"/>
      <c r="T45" s="21"/>
    </row>
    <row r="46" spans="1:20" x14ac:dyDescent="0.45">
      <c r="A46" s="30" t="str">
        <f t="shared" si="2"/>
        <v/>
      </c>
      <c r="B46" s="41"/>
      <c r="C46" s="38"/>
      <c r="D46" s="38"/>
      <c r="E46" s="38"/>
      <c r="F46" s="38"/>
      <c r="G46" s="38"/>
      <c r="H46" s="48"/>
      <c r="I46" s="48"/>
      <c r="J46" s="49"/>
      <c r="K46" s="17"/>
      <c r="L46" s="17"/>
      <c r="M46" s="48"/>
      <c r="N46" s="48"/>
      <c r="O46" s="50" t="str">
        <f t="shared" si="3"/>
        <v/>
      </c>
      <c r="P46" s="17"/>
      <c r="Q46" s="50"/>
      <c r="R46" s="50"/>
      <c r="S46" s="17"/>
      <c r="T46" s="21"/>
    </row>
    <row r="47" spans="1:20" x14ac:dyDescent="0.45">
      <c r="A47" s="30" t="str">
        <f t="shared" si="2"/>
        <v/>
      </c>
      <c r="B47" s="41"/>
      <c r="C47" s="38"/>
      <c r="D47" s="38"/>
      <c r="E47" s="38"/>
      <c r="F47" s="38"/>
      <c r="G47" s="38"/>
      <c r="H47" s="48"/>
      <c r="I47" s="48"/>
      <c r="J47" s="49"/>
      <c r="K47" s="17"/>
      <c r="L47" s="17"/>
      <c r="M47" s="48"/>
      <c r="N47" s="48"/>
      <c r="O47" s="50" t="str">
        <f t="shared" si="3"/>
        <v/>
      </c>
      <c r="P47" s="17"/>
      <c r="Q47" s="50"/>
      <c r="R47" s="50"/>
      <c r="S47" s="17"/>
      <c r="T47" s="21"/>
    </row>
    <row r="48" spans="1:20" x14ac:dyDescent="0.45">
      <c r="A48" s="30" t="str">
        <f t="shared" si="2"/>
        <v/>
      </c>
      <c r="B48" s="41"/>
      <c r="C48" s="38"/>
      <c r="D48" s="38"/>
      <c r="E48" s="38"/>
      <c r="F48" s="38"/>
      <c r="G48" s="38"/>
      <c r="H48" s="48"/>
      <c r="I48" s="48"/>
      <c r="J48" s="49"/>
      <c r="K48" s="17"/>
      <c r="L48" s="17"/>
      <c r="M48" s="48"/>
      <c r="N48" s="48"/>
      <c r="O48" s="50" t="str">
        <f t="shared" si="3"/>
        <v/>
      </c>
      <c r="P48" s="17"/>
      <c r="Q48" s="50"/>
      <c r="R48" s="50"/>
      <c r="S48" s="17"/>
      <c r="T48" s="21"/>
    </row>
    <row r="49" spans="1:20" x14ac:dyDescent="0.45">
      <c r="A49" s="30" t="str">
        <f t="shared" si="2"/>
        <v/>
      </c>
      <c r="B49" s="41"/>
      <c r="C49" s="38"/>
      <c r="D49" s="38"/>
      <c r="E49" s="38"/>
      <c r="F49" s="38"/>
      <c r="G49" s="38"/>
      <c r="H49" s="48"/>
      <c r="I49" s="48"/>
      <c r="J49" s="49"/>
      <c r="K49" s="17"/>
      <c r="L49" s="17"/>
      <c r="M49" s="48"/>
      <c r="N49" s="48"/>
      <c r="O49" s="50" t="str">
        <f t="shared" si="3"/>
        <v/>
      </c>
      <c r="P49" s="17"/>
      <c r="Q49" s="50"/>
      <c r="R49" s="50"/>
      <c r="S49" s="17"/>
      <c r="T49" s="21"/>
    </row>
    <row r="50" spans="1:20" x14ac:dyDescent="0.45">
      <c r="A50" s="30" t="str">
        <f t="shared" si="2"/>
        <v/>
      </c>
      <c r="B50" s="41"/>
      <c r="C50" s="38"/>
      <c r="D50" s="38"/>
      <c r="E50" s="38"/>
      <c r="F50" s="38"/>
      <c r="G50" s="38"/>
      <c r="H50" s="48"/>
      <c r="I50" s="48"/>
      <c r="J50" s="49"/>
      <c r="K50" s="17"/>
      <c r="L50" s="17"/>
      <c r="M50" s="48"/>
      <c r="N50" s="48"/>
      <c r="O50" s="50" t="str">
        <f t="shared" si="3"/>
        <v/>
      </c>
      <c r="P50" s="17"/>
      <c r="Q50" s="50"/>
      <c r="R50" s="50"/>
      <c r="S50" s="17"/>
      <c r="T50" s="21"/>
    </row>
    <row r="51" spans="1:20" x14ac:dyDescent="0.45">
      <c r="A51" s="30" t="str">
        <f t="shared" si="2"/>
        <v/>
      </c>
      <c r="B51" s="41"/>
      <c r="C51" s="38"/>
      <c r="D51" s="38"/>
      <c r="E51" s="38"/>
      <c r="F51" s="38"/>
      <c r="G51" s="38"/>
      <c r="H51" s="48"/>
      <c r="I51" s="48"/>
      <c r="J51" s="49"/>
      <c r="K51" s="17"/>
      <c r="L51" s="17"/>
      <c r="M51" s="48"/>
      <c r="N51" s="48"/>
      <c r="O51" s="50" t="str">
        <f t="shared" si="3"/>
        <v/>
      </c>
      <c r="P51" s="17"/>
      <c r="Q51" s="50"/>
      <c r="R51" s="50"/>
      <c r="S51" s="17"/>
      <c r="T51" s="21"/>
    </row>
    <row r="52" spans="1:20" x14ac:dyDescent="0.45">
      <c r="A52" s="30" t="str">
        <f t="shared" si="2"/>
        <v/>
      </c>
      <c r="B52" s="41"/>
      <c r="C52" s="38"/>
      <c r="D52" s="38"/>
      <c r="E52" s="38"/>
      <c r="F52" s="38"/>
      <c r="G52" s="38"/>
      <c r="H52" s="48"/>
      <c r="I52" s="48"/>
      <c r="J52" s="49"/>
      <c r="K52" s="17"/>
      <c r="L52" s="17"/>
      <c r="M52" s="48"/>
      <c r="N52" s="48"/>
      <c r="O52" s="50" t="str">
        <f t="shared" si="3"/>
        <v/>
      </c>
      <c r="P52" s="17"/>
      <c r="Q52" s="50"/>
      <c r="R52" s="50"/>
      <c r="S52" s="17"/>
      <c r="T52" s="21"/>
    </row>
    <row r="53" spans="1:20" x14ac:dyDescent="0.45">
      <c r="A53" s="30" t="str">
        <f t="shared" si="2"/>
        <v/>
      </c>
      <c r="B53" s="41"/>
      <c r="C53" s="38"/>
      <c r="D53" s="38"/>
      <c r="E53" s="38"/>
      <c r="F53" s="38"/>
      <c r="G53" s="38"/>
      <c r="H53" s="48"/>
      <c r="I53" s="48"/>
      <c r="J53" s="49"/>
      <c r="K53" s="17"/>
      <c r="L53" s="17"/>
      <c r="M53" s="48"/>
      <c r="N53" s="48"/>
      <c r="O53" s="50" t="str">
        <f t="shared" si="3"/>
        <v/>
      </c>
      <c r="P53" s="17"/>
      <c r="Q53" s="50"/>
      <c r="R53" s="50"/>
      <c r="S53" s="17"/>
      <c r="T53" s="21"/>
    </row>
    <row r="54" spans="1:20" x14ac:dyDescent="0.45">
      <c r="A54" s="30" t="str">
        <f t="shared" si="2"/>
        <v/>
      </c>
      <c r="B54" s="41"/>
      <c r="C54" s="38"/>
      <c r="D54" s="38"/>
      <c r="E54" s="38"/>
      <c r="F54" s="38"/>
      <c r="G54" s="38"/>
      <c r="H54" s="48"/>
      <c r="I54" s="48"/>
      <c r="J54" s="49"/>
      <c r="K54" s="17"/>
      <c r="L54" s="17"/>
      <c r="M54" s="48"/>
      <c r="N54" s="48"/>
      <c r="O54" s="50" t="str">
        <f t="shared" si="3"/>
        <v/>
      </c>
      <c r="P54" s="17"/>
      <c r="Q54" s="50"/>
      <c r="R54" s="50"/>
      <c r="S54" s="17"/>
      <c r="T54" s="21"/>
    </row>
    <row r="55" spans="1:20" x14ac:dyDescent="0.45">
      <c r="A55" s="30" t="str">
        <f t="shared" si="2"/>
        <v/>
      </c>
      <c r="B55" s="41"/>
      <c r="C55" s="38"/>
      <c r="D55" s="38"/>
      <c r="E55" s="38"/>
      <c r="F55" s="38"/>
      <c r="G55" s="38"/>
      <c r="H55" s="48"/>
      <c r="I55" s="48"/>
      <c r="J55" s="49"/>
      <c r="K55" s="17"/>
      <c r="L55" s="17"/>
      <c r="M55" s="48"/>
      <c r="N55" s="48"/>
      <c r="O55" s="50" t="str">
        <f t="shared" si="3"/>
        <v/>
      </c>
      <c r="P55" s="17"/>
      <c r="Q55" s="50"/>
      <c r="R55" s="50"/>
      <c r="S55" s="17"/>
      <c r="T55" s="21"/>
    </row>
    <row r="56" spans="1:20" x14ac:dyDescent="0.45">
      <c r="A56" s="30" t="str">
        <f t="shared" si="2"/>
        <v/>
      </c>
      <c r="B56" s="41"/>
      <c r="C56" s="38"/>
      <c r="D56" s="38"/>
      <c r="E56" s="38"/>
      <c r="F56" s="38"/>
      <c r="G56" s="38"/>
      <c r="H56" s="48"/>
      <c r="I56" s="48"/>
      <c r="J56" s="49"/>
      <c r="K56" s="17"/>
      <c r="L56" s="17"/>
      <c r="M56" s="48"/>
      <c r="N56" s="48"/>
      <c r="O56" s="50" t="str">
        <f t="shared" si="3"/>
        <v/>
      </c>
      <c r="P56" s="17"/>
      <c r="Q56" s="50"/>
      <c r="R56" s="50"/>
      <c r="S56" s="17"/>
      <c r="T56" s="21"/>
    </row>
    <row r="57" spans="1:20" x14ac:dyDescent="0.45">
      <c r="A57" s="30" t="str">
        <f t="shared" si="2"/>
        <v/>
      </c>
      <c r="B57" s="41"/>
      <c r="C57" s="38"/>
      <c r="D57" s="38"/>
      <c r="E57" s="38"/>
      <c r="F57" s="38"/>
      <c r="G57" s="38"/>
      <c r="H57" s="48"/>
      <c r="I57" s="48"/>
      <c r="J57" s="49"/>
      <c r="K57" s="17"/>
      <c r="L57" s="17"/>
      <c r="M57" s="48"/>
      <c r="N57" s="48"/>
      <c r="O57" s="50" t="str">
        <f t="shared" si="3"/>
        <v/>
      </c>
      <c r="P57" s="17"/>
      <c r="Q57" s="50"/>
      <c r="R57" s="50"/>
      <c r="S57" s="17"/>
      <c r="T57" s="21"/>
    </row>
    <row r="58" spans="1:20" x14ac:dyDescent="0.45">
      <c r="A58" s="30" t="str">
        <f t="shared" si="2"/>
        <v/>
      </c>
      <c r="B58" s="41"/>
      <c r="C58" s="38"/>
      <c r="D58" s="38"/>
      <c r="E58" s="38"/>
      <c r="F58" s="38"/>
      <c r="G58" s="38"/>
      <c r="H58" s="48"/>
      <c r="I58" s="48"/>
      <c r="J58" s="49"/>
      <c r="K58" s="17"/>
      <c r="L58" s="17"/>
      <c r="M58" s="48"/>
      <c r="N58" s="48"/>
      <c r="O58" s="50" t="str">
        <f t="shared" si="3"/>
        <v/>
      </c>
      <c r="P58" s="17"/>
      <c r="Q58" s="50"/>
      <c r="R58" s="50"/>
      <c r="S58" s="17"/>
      <c r="T58" s="21"/>
    </row>
    <row r="59" spans="1:20" x14ac:dyDescent="0.45">
      <c r="A59" s="30" t="str">
        <f t="shared" si="2"/>
        <v/>
      </c>
      <c r="B59" s="41"/>
      <c r="C59" s="38"/>
      <c r="D59" s="38"/>
      <c r="E59" s="38"/>
      <c r="F59" s="38"/>
      <c r="G59" s="38"/>
      <c r="H59" s="48"/>
      <c r="I59" s="48"/>
      <c r="J59" s="49"/>
      <c r="K59" s="17"/>
      <c r="L59" s="17"/>
      <c r="M59" s="48"/>
      <c r="N59" s="48"/>
      <c r="O59" s="50" t="str">
        <f t="shared" si="3"/>
        <v/>
      </c>
      <c r="P59" s="17"/>
      <c r="Q59" s="50"/>
      <c r="R59" s="50"/>
      <c r="S59" s="17"/>
      <c r="T59" s="21"/>
    </row>
    <row r="60" spans="1:20" x14ac:dyDescent="0.45">
      <c r="A60" s="30" t="str">
        <f t="shared" si="2"/>
        <v/>
      </c>
      <c r="B60" s="41"/>
      <c r="C60" s="38"/>
      <c r="D60" s="38"/>
      <c r="E60" s="38"/>
      <c r="F60" s="38"/>
      <c r="G60" s="38"/>
      <c r="H60" s="48"/>
      <c r="I60" s="48"/>
      <c r="J60" s="49"/>
      <c r="K60" s="17"/>
      <c r="L60" s="17"/>
      <c r="M60" s="48"/>
      <c r="N60" s="48"/>
      <c r="O60" s="50" t="str">
        <f t="shared" si="3"/>
        <v/>
      </c>
      <c r="P60" s="17"/>
      <c r="Q60" s="50"/>
      <c r="R60" s="50"/>
      <c r="S60" s="17"/>
      <c r="T60" s="21"/>
    </row>
    <row r="61" spans="1:20" x14ac:dyDescent="0.45">
      <c r="A61" s="30" t="str">
        <f t="shared" si="2"/>
        <v/>
      </c>
      <c r="B61" s="41"/>
      <c r="C61" s="38"/>
      <c r="D61" s="38"/>
      <c r="E61" s="38"/>
      <c r="F61" s="38"/>
      <c r="G61" s="38"/>
      <c r="H61" s="48"/>
      <c r="I61" s="48"/>
      <c r="J61" s="49"/>
      <c r="K61" s="17"/>
      <c r="L61" s="17"/>
      <c r="M61" s="48"/>
      <c r="N61" s="48"/>
      <c r="O61" s="50" t="str">
        <f t="shared" si="3"/>
        <v/>
      </c>
      <c r="P61" s="17"/>
      <c r="Q61" s="50"/>
      <c r="R61" s="50"/>
      <c r="S61" s="17"/>
      <c r="T61" s="21"/>
    </row>
    <row r="62" spans="1:20" x14ac:dyDescent="0.45">
      <c r="A62" s="30" t="str">
        <f t="shared" si="2"/>
        <v/>
      </c>
      <c r="B62" s="41"/>
      <c r="C62" s="38"/>
      <c r="D62" s="38"/>
      <c r="E62" s="38"/>
      <c r="F62" s="38"/>
      <c r="G62" s="38"/>
      <c r="H62" s="48"/>
      <c r="I62" s="48"/>
      <c r="J62" s="49"/>
      <c r="K62" s="17"/>
      <c r="L62" s="17"/>
      <c r="M62" s="48"/>
      <c r="N62" s="48"/>
      <c r="O62" s="50" t="str">
        <f t="shared" si="3"/>
        <v/>
      </c>
      <c r="P62" s="17"/>
      <c r="Q62" s="50"/>
      <c r="R62" s="50"/>
      <c r="S62" s="17"/>
      <c r="T62" s="21"/>
    </row>
    <row r="63" spans="1:20" x14ac:dyDescent="0.45">
      <c r="A63" s="30" t="str">
        <f t="shared" si="2"/>
        <v/>
      </c>
      <c r="B63" s="41"/>
      <c r="C63" s="38"/>
      <c r="D63" s="38"/>
      <c r="E63" s="38"/>
      <c r="F63" s="38"/>
      <c r="G63" s="38"/>
      <c r="H63" s="48"/>
      <c r="I63" s="48"/>
      <c r="J63" s="49"/>
      <c r="K63" s="17"/>
      <c r="L63" s="17"/>
      <c r="M63" s="48"/>
      <c r="N63" s="48"/>
      <c r="O63" s="50" t="str">
        <f t="shared" si="3"/>
        <v/>
      </c>
      <c r="P63" s="17"/>
      <c r="Q63" s="50"/>
      <c r="R63" s="50"/>
      <c r="S63" s="17"/>
      <c r="T63" s="21"/>
    </row>
    <row r="64" spans="1:20" x14ac:dyDescent="0.45">
      <c r="A64" s="30" t="str">
        <f t="shared" si="2"/>
        <v/>
      </c>
      <c r="B64" s="41"/>
      <c r="C64" s="38"/>
      <c r="D64" s="38"/>
      <c r="E64" s="38"/>
      <c r="F64" s="38"/>
      <c r="G64" s="38"/>
      <c r="H64" s="48"/>
      <c r="I64" s="48"/>
      <c r="J64" s="49"/>
      <c r="K64" s="17"/>
      <c r="L64" s="17"/>
      <c r="M64" s="48"/>
      <c r="N64" s="48"/>
      <c r="O64" s="50" t="str">
        <f t="shared" si="3"/>
        <v/>
      </c>
      <c r="P64" s="17"/>
      <c r="Q64" s="50"/>
      <c r="R64" s="50"/>
      <c r="S64" s="17"/>
      <c r="T64" s="21"/>
    </row>
    <row r="65" spans="1:20" x14ac:dyDescent="0.45">
      <c r="A65" s="30" t="str">
        <f t="shared" si="2"/>
        <v/>
      </c>
      <c r="B65" s="41"/>
      <c r="C65" s="38"/>
      <c r="D65" s="38"/>
      <c r="E65" s="38"/>
      <c r="F65" s="38"/>
      <c r="G65" s="38"/>
      <c r="H65" s="48"/>
      <c r="I65" s="48"/>
      <c r="J65" s="49"/>
      <c r="K65" s="17"/>
      <c r="L65" s="17"/>
      <c r="M65" s="48"/>
      <c r="N65" s="48"/>
      <c r="O65" s="50" t="str">
        <f t="shared" si="3"/>
        <v/>
      </c>
      <c r="P65" s="17"/>
      <c r="Q65" s="50"/>
      <c r="R65" s="50"/>
      <c r="S65" s="17"/>
      <c r="T65" s="21"/>
    </row>
    <row r="66" spans="1:20" x14ac:dyDescent="0.45">
      <c r="A66" s="30" t="str">
        <f t="shared" ref="A66:A97" si="4">IF(B66="","","HS-"&amp;TEXT(ROW()-4,"000"))</f>
        <v/>
      </c>
      <c r="B66" s="41"/>
      <c r="C66" s="38"/>
      <c r="D66" s="38"/>
      <c r="E66" s="38"/>
      <c r="F66" s="38"/>
      <c r="G66" s="38"/>
      <c r="H66" s="48"/>
      <c r="I66" s="48"/>
      <c r="J66" s="49"/>
      <c r="K66" s="17"/>
      <c r="L66" s="17"/>
      <c r="M66" s="48"/>
      <c r="N66" s="48"/>
      <c r="O66" s="50" t="str">
        <f t="shared" ref="O66:O97" si="5">IF(B66="","",B66+IF(M66="Khẩn cấp",1,IF(M66="Cao",2,5)))</f>
        <v/>
      </c>
      <c r="P66" s="17"/>
      <c r="Q66" s="50"/>
      <c r="R66" s="50"/>
      <c r="S66" s="17"/>
      <c r="T66" s="21"/>
    </row>
    <row r="67" spans="1:20" x14ac:dyDescent="0.45">
      <c r="A67" s="30" t="str">
        <f t="shared" si="4"/>
        <v/>
      </c>
      <c r="B67" s="41"/>
      <c r="C67" s="38"/>
      <c r="D67" s="38"/>
      <c r="E67" s="38"/>
      <c r="F67" s="38"/>
      <c r="G67" s="38"/>
      <c r="H67" s="48"/>
      <c r="I67" s="48"/>
      <c r="J67" s="49"/>
      <c r="K67" s="17"/>
      <c r="L67" s="17"/>
      <c r="M67" s="48"/>
      <c r="N67" s="48"/>
      <c r="O67" s="50" t="str">
        <f t="shared" si="5"/>
        <v/>
      </c>
      <c r="P67" s="17"/>
      <c r="Q67" s="50"/>
      <c r="R67" s="50"/>
      <c r="S67" s="17"/>
      <c r="T67" s="21"/>
    </row>
    <row r="68" spans="1:20" x14ac:dyDescent="0.45">
      <c r="A68" s="30" t="str">
        <f t="shared" si="4"/>
        <v/>
      </c>
      <c r="B68" s="41"/>
      <c r="C68" s="38"/>
      <c r="D68" s="38"/>
      <c r="E68" s="38"/>
      <c r="F68" s="38"/>
      <c r="G68" s="38"/>
      <c r="H68" s="48"/>
      <c r="I68" s="48"/>
      <c r="J68" s="49"/>
      <c r="K68" s="17"/>
      <c r="L68" s="17"/>
      <c r="M68" s="48"/>
      <c r="N68" s="48"/>
      <c r="O68" s="50" t="str">
        <f t="shared" si="5"/>
        <v/>
      </c>
      <c r="P68" s="17"/>
      <c r="Q68" s="50"/>
      <c r="R68" s="50"/>
      <c r="S68" s="17"/>
      <c r="T68" s="21"/>
    </row>
    <row r="69" spans="1:20" x14ac:dyDescent="0.45">
      <c r="A69" s="30" t="str">
        <f t="shared" si="4"/>
        <v/>
      </c>
      <c r="B69" s="41"/>
      <c r="C69" s="38"/>
      <c r="D69" s="38"/>
      <c r="E69" s="38"/>
      <c r="F69" s="38"/>
      <c r="G69" s="38"/>
      <c r="H69" s="48"/>
      <c r="I69" s="48"/>
      <c r="J69" s="49"/>
      <c r="K69" s="17"/>
      <c r="L69" s="17"/>
      <c r="M69" s="48"/>
      <c r="N69" s="48"/>
      <c r="O69" s="50" t="str">
        <f t="shared" si="5"/>
        <v/>
      </c>
      <c r="P69" s="17"/>
      <c r="Q69" s="50"/>
      <c r="R69" s="50"/>
      <c r="S69" s="17"/>
      <c r="T69" s="21"/>
    </row>
    <row r="70" spans="1:20" x14ac:dyDescent="0.45">
      <c r="A70" s="30" t="str">
        <f t="shared" si="4"/>
        <v/>
      </c>
      <c r="B70" s="41"/>
      <c r="C70" s="38"/>
      <c r="D70" s="38"/>
      <c r="E70" s="38"/>
      <c r="F70" s="38"/>
      <c r="G70" s="38"/>
      <c r="H70" s="48"/>
      <c r="I70" s="48"/>
      <c r="J70" s="49"/>
      <c r="K70" s="17"/>
      <c r="L70" s="17"/>
      <c r="M70" s="48"/>
      <c r="N70" s="48"/>
      <c r="O70" s="50" t="str">
        <f t="shared" si="5"/>
        <v/>
      </c>
      <c r="P70" s="17"/>
      <c r="Q70" s="50"/>
      <c r="R70" s="50"/>
      <c r="S70" s="17"/>
      <c r="T70" s="21"/>
    </row>
    <row r="71" spans="1:20" x14ac:dyDescent="0.45">
      <c r="A71" s="30" t="str">
        <f t="shared" si="4"/>
        <v/>
      </c>
      <c r="B71" s="41"/>
      <c r="C71" s="38"/>
      <c r="D71" s="38"/>
      <c r="E71" s="38"/>
      <c r="F71" s="38"/>
      <c r="G71" s="38"/>
      <c r="H71" s="48"/>
      <c r="I71" s="48"/>
      <c r="J71" s="49"/>
      <c r="K71" s="17"/>
      <c r="L71" s="17"/>
      <c r="M71" s="48"/>
      <c r="N71" s="48"/>
      <c r="O71" s="50" t="str">
        <f t="shared" si="5"/>
        <v/>
      </c>
      <c r="P71" s="17"/>
      <c r="Q71" s="50"/>
      <c r="R71" s="50"/>
      <c r="S71" s="17"/>
      <c r="T71" s="21"/>
    </row>
    <row r="72" spans="1:20" x14ac:dyDescent="0.45">
      <c r="A72" s="30" t="str">
        <f t="shared" si="4"/>
        <v/>
      </c>
      <c r="B72" s="41"/>
      <c r="C72" s="38"/>
      <c r="D72" s="38"/>
      <c r="E72" s="38"/>
      <c r="F72" s="38"/>
      <c r="G72" s="38"/>
      <c r="H72" s="48"/>
      <c r="I72" s="48"/>
      <c r="J72" s="49"/>
      <c r="K72" s="17"/>
      <c r="L72" s="17"/>
      <c r="M72" s="48"/>
      <c r="N72" s="48"/>
      <c r="O72" s="50" t="str">
        <f t="shared" si="5"/>
        <v/>
      </c>
      <c r="P72" s="17"/>
      <c r="Q72" s="50"/>
      <c r="R72" s="50"/>
      <c r="S72" s="17"/>
      <c r="T72" s="21"/>
    </row>
    <row r="73" spans="1:20" x14ac:dyDescent="0.45">
      <c r="A73" s="30" t="str">
        <f t="shared" si="4"/>
        <v/>
      </c>
      <c r="B73" s="41"/>
      <c r="C73" s="38"/>
      <c r="D73" s="38"/>
      <c r="E73" s="38"/>
      <c r="F73" s="38"/>
      <c r="G73" s="38"/>
      <c r="H73" s="48"/>
      <c r="I73" s="48"/>
      <c r="J73" s="49"/>
      <c r="K73" s="17"/>
      <c r="L73" s="17"/>
      <c r="M73" s="48"/>
      <c r="N73" s="48"/>
      <c r="O73" s="50" t="str">
        <f t="shared" si="5"/>
        <v/>
      </c>
      <c r="P73" s="17"/>
      <c r="Q73" s="50"/>
      <c r="R73" s="50"/>
      <c r="S73" s="17"/>
      <c r="T73" s="21"/>
    </row>
    <row r="74" spans="1:20" x14ac:dyDescent="0.45">
      <c r="A74" s="30" t="str">
        <f t="shared" si="4"/>
        <v/>
      </c>
      <c r="B74" s="41"/>
      <c r="C74" s="38"/>
      <c r="D74" s="38"/>
      <c r="E74" s="38"/>
      <c r="F74" s="38"/>
      <c r="G74" s="38"/>
      <c r="H74" s="48"/>
      <c r="I74" s="48"/>
      <c r="J74" s="49"/>
      <c r="K74" s="17"/>
      <c r="L74" s="17"/>
      <c r="M74" s="48"/>
      <c r="N74" s="48"/>
      <c r="O74" s="50" t="str">
        <f t="shared" si="5"/>
        <v/>
      </c>
      <c r="P74" s="17"/>
      <c r="Q74" s="50"/>
      <c r="R74" s="50"/>
      <c r="S74" s="17"/>
      <c r="T74" s="21"/>
    </row>
    <row r="75" spans="1:20" x14ac:dyDescent="0.45">
      <c r="A75" s="30" t="str">
        <f t="shared" si="4"/>
        <v/>
      </c>
      <c r="B75" s="41"/>
      <c r="C75" s="38"/>
      <c r="D75" s="38"/>
      <c r="E75" s="38"/>
      <c r="F75" s="38"/>
      <c r="G75" s="38"/>
      <c r="H75" s="48"/>
      <c r="I75" s="48"/>
      <c r="J75" s="49"/>
      <c r="K75" s="17"/>
      <c r="L75" s="17"/>
      <c r="M75" s="48"/>
      <c r="N75" s="48"/>
      <c r="O75" s="50" t="str">
        <f t="shared" si="5"/>
        <v/>
      </c>
      <c r="P75" s="17"/>
      <c r="Q75" s="50"/>
      <c r="R75" s="50"/>
      <c r="S75" s="17"/>
      <c r="T75" s="21"/>
    </row>
    <row r="76" spans="1:20" x14ac:dyDescent="0.45">
      <c r="A76" s="30" t="str">
        <f t="shared" si="4"/>
        <v/>
      </c>
      <c r="B76" s="41"/>
      <c r="C76" s="38"/>
      <c r="D76" s="38"/>
      <c r="E76" s="38"/>
      <c r="F76" s="38"/>
      <c r="G76" s="38"/>
      <c r="H76" s="48"/>
      <c r="I76" s="48"/>
      <c r="J76" s="49"/>
      <c r="K76" s="17"/>
      <c r="L76" s="17"/>
      <c r="M76" s="48"/>
      <c r="N76" s="48"/>
      <c r="O76" s="50" t="str">
        <f t="shared" si="5"/>
        <v/>
      </c>
      <c r="P76" s="17"/>
      <c r="Q76" s="50"/>
      <c r="R76" s="50"/>
      <c r="S76" s="17"/>
      <c r="T76" s="21"/>
    </row>
    <row r="77" spans="1:20" x14ac:dyDescent="0.45">
      <c r="A77" s="30" t="str">
        <f t="shared" si="4"/>
        <v/>
      </c>
      <c r="B77" s="41"/>
      <c r="C77" s="38"/>
      <c r="D77" s="38"/>
      <c r="E77" s="38"/>
      <c r="F77" s="38"/>
      <c r="G77" s="38"/>
      <c r="H77" s="48"/>
      <c r="I77" s="48"/>
      <c r="J77" s="49"/>
      <c r="K77" s="17"/>
      <c r="L77" s="17"/>
      <c r="M77" s="48"/>
      <c r="N77" s="48"/>
      <c r="O77" s="50" t="str">
        <f t="shared" si="5"/>
        <v/>
      </c>
      <c r="P77" s="17"/>
      <c r="Q77" s="50"/>
      <c r="R77" s="50"/>
      <c r="S77" s="17"/>
      <c r="T77" s="21"/>
    </row>
    <row r="78" spans="1:20" x14ac:dyDescent="0.45">
      <c r="A78" s="30" t="str">
        <f t="shared" si="4"/>
        <v/>
      </c>
      <c r="B78" s="41"/>
      <c r="C78" s="38"/>
      <c r="D78" s="38"/>
      <c r="E78" s="38"/>
      <c r="F78" s="38"/>
      <c r="G78" s="38"/>
      <c r="H78" s="48"/>
      <c r="I78" s="48"/>
      <c r="J78" s="49"/>
      <c r="K78" s="17"/>
      <c r="L78" s="17"/>
      <c r="M78" s="48"/>
      <c r="N78" s="48"/>
      <c r="O78" s="50" t="str">
        <f t="shared" si="5"/>
        <v/>
      </c>
      <c r="P78" s="17"/>
      <c r="Q78" s="50"/>
      <c r="R78" s="50"/>
      <c r="S78" s="17"/>
      <c r="T78" s="21"/>
    </row>
    <row r="79" spans="1:20" x14ac:dyDescent="0.45">
      <c r="A79" s="30" t="str">
        <f t="shared" si="4"/>
        <v/>
      </c>
      <c r="B79" s="41"/>
      <c r="C79" s="38"/>
      <c r="D79" s="38"/>
      <c r="E79" s="38"/>
      <c r="F79" s="38"/>
      <c r="G79" s="38"/>
      <c r="H79" s="48"/>
      <c r="I79" s="48"/>
      <c r="J79" s="49"/>
      <c r="K79" s="17"/>
      <c r="L79" s="17"/>
      <c r="M79" s="48"/>
      <c r="N79" s="48"/>
      <c r="O79" s="50" t="str">
        <f t="shared" si="5"/>
        <v/>
      </c>
      <c r="P79" s="17"/>
      <c r="Q79" s="50"/>
      <c r="R79" s="50"/>
      <c r="S79" s="17"/>
      <c r="T79" s="21"/>
    </row>
    <row r="80" spans="1:20" x14ac:dyDescent="0.45">
      <c r="A80" s="30" t="str">
        <f t="shared" si="4"/>
        <v/>
      </c>
      <c r="B80" s="41"/>
      <c r="C80" s="38"/>
      <c r="D80" s="38"/>
      <c r="E80" s="38"/>
      <c r="F80" s="38"/>
      <c r="G80" s="38"/>
      <c r="H80" s="48"/>
      <c r="I80" s="48"/>
      <c r="J80" s="49"/>
      <c r="K80" s="17"/>
      <c r="L80" s="17"/>
      <c r="M80" s="48"/>
      <c r="N80" s="48"/>
      <c r="O80" s="50" t="str">
        <f t="shared" si="5"/>
        <v/>
      </c>
      <c r="P80" s="17"/>
      <c r="Q80" s="50"/>
      <c r="R80" s="50"/>
      <c r="S80" s="17"/>
      <c r="T80" s="21"/>
    </row>
    <row r="81" spans="1:20" x14ac:dyDescent="0.45">
      <c r="A81" s="30" t="str">
        <f t="shared" si="4"/>
        <v/>
      </c>
      <c r="B81" s="41"/>
      <c r="C81" s="38"/>
      <c r="D81" s="38"/>
      <c r="E81" s="38"/>
      <c r="F81" s="38"/>
      <c r="G81" s="38"/>
      <c r="H81" s="48"/>
      <c r="I81" s="48"/>
      <c r="J81" s="49"/>
      <c r="K81" s="17"/>
      <c r="L81" s="17"/>
      <c r="M81" s="48"/>
      <c r="N81" s="48"/>
      <c r="O81" s="50" t="str">
        <f t="shared" si="5"/>
        <v/>
      </c>
      <c r="P81" s="17"/>
      <c r="Q81" s="50"/>
      <c r="R81" s="50"/>
      <c r="S81" s="17"/>
      <c r="T81" s="21"/>
    </row>
    <row r="82" spans="1:20" x14ac:dyDescent="0.45">
      <c r="A82" s="30" t="str">
        <f t="shared" si="4"/>
        <v/>
      </c>
      <c r="B82" s="41"/>
      <c r="C82" s="38"/>
      <c r="D82" s="38"/>
      <c r="E82" s="38"/>
      <c r="F82" s="38"/>
      <c r="G82" s="38"/>
      <c r="H82" s="48"/>
      <c r="I82" s="48"/>
      <c r="J82" s="49"/>
      <c r="K82" s="17"/>
      <c r="L82" s="17"/>
      <c r="M82" s="48"/>
      <c r="N82" s="48"/>
      <c r="O82" s="50" t="str">
        <f t="shared" si="5"/>
        <v/>
      </c>
      <c r="P82" s="17"/>
      <c r="Q82" s="50"/>
      <c r="R82" s="50"/>
      <c r="S82" s="17"/>
      <c r="T82" s="21"/>
    </row>
    <row r="83" spans="1:20" x14ac:dyDescent="0.45">
      <c r="A83" s="30" t="str">
        <f t="shared" si="4"/>
        <v/>
      </c>
      <c r="B83" s="41"/>
      <c r="C83" s="38"/>
      <c r="D83" s="38"/>
      <c r="E83" s="38"/>
      <c r="F83" s="38"/>
      <c r="G83" s="38"/>
      <c r="H83" s="48"/>
      <c r="I83" s="48"/>
      <c r="J83" s="49"/>
      <c r="K83" s="17"/>
      <c r="L83" s="17"/>
      <c r="M83" s="48"/>
      <c r="N83" s="48"/>
      <c r="O83" s="50" t="str">
        <f t="shared" si="5"/>
        <v/>
      </c>
      <c r="P83" s="17"/>
      <c r="Q83" s="50"/>
      <c r="R83" s="50"/>
      <c r="S83" s="17"/>
      <c r="T83" s="21"/>
    </row>
    <row r="84" spans="1:20" x14ac:dyDescent="0.45">
      <c r="A84" s="30" t="str">
        <f t="shared" si="4"/>
        <v/>
      </c>
      <c r="B84" s="41"/>
      <c r="C84" s="38"/>
      <c r="D84" s="38"/>
      <c r="E84" s="38"/>
      <c r="F84" s="38"/>
      <c r="G84" s="38"/>
      <c r="H84" s="48"/>
      <c r="I84" s="48"/>
      <c r="J84" s="49"/>
      <c r="K84" s="17"/>
      <c r="L84" s="17"/>
      <c r="M84" s="48"/>
      <c r="N84" s="48"/>
      <c r="O84" s="50" t="str">
        <f t="shared" si="5"/>
        <v/>
      </c>
      <c r="P84" s="17"/>
      <c r="Q84" s="50"/>
      <c r="R84" s="50"/>
      <c r="S84" s="17"/>
      <c r="T84" s="21"/>
    </row>
    <row r="85" spans="1:20" x14ac:dyDescent="0.45">
      <c r="A85" s="30" t="str">
        <f t="shared" si="4"/>
        <v/>
      </c>
      <c r="B85" s="41"/>
      <c r="C85" s="38"/>
      <c r="D85" s="38"/>
      <c r="E85" s="38"/>
      <c r="F85" s="38"/>
      <c r="G85" s="38"/>
      <c r="H85" s="48"/>
      <c r="I85" s="48"/>
      <c r="J85" s="49"/>
      <c r="K85" s="17"/>
      <c r="L85" s="17"/>
      <c r="M85" s="48"/>
      <c r="N85" s="48"/>
      <c r="O85" s="50" t="str">
        <f t="shared" si="5"/>
        <v/>
      </c>
      <c r="P85" s="17"/>
      <c r="Q85" s="50"/>
      <c r="R85" s="50"/>
      <c r="S85" s="17"/>
      <c r="T85" s="21"/>
    </row>
    <row r="86" spans="1:20" x14ac:dyDescent="0.45">
      <c r="A86" s="30" t="str">
        <f t="shared" si="4"/>
        <v/>
      </c>
      <c r="B86" s="41"/>
      <c r="C86" s="38"/>
      <c r="D86" s="38"/>
      <c r="E86" s="38"/>
      <c r="F86" s="38"/>
      <c r="G86" s="38"/>
      <c r="H86" s="48"/>
      <c r="I86" s="48"/>
      <c r="J86" s="49"/>
      <c r="K86" s="17"/>
      <c r="L86" s="17"/>
      <c r="M86" s="48"/>
      <c r="N86" s="48"/>
      <c r="O86" s="50" t="str">
        <f t="shared" si="5"/>
        <v/>
      </c>
      <c r="P86" s="17"/>
      <c r="Q86" s="50"/>
      <c r="R86" s="50"/>
      <c r="S86" s="17"/>
      <c r="T86" s="21"/>
    </row>
    <row r="87" spans="1:20" x14ac:dyDescent="0.45">
      <c r="A87" s="30" t="str">
        <f t="shared" si="4"/>
        <v/>
      </c>
      <c r="B87" s="41"/>
      <c r="C87" s="38"/>
      <c r="D87" s="38"/>
      <c r="E87" s="38"/>
      <c r="F87" s="38"/>
      <c r="G87" s="38"/>
      <c r="H87" s="48"/>
      <c r="I87" s="48"/>
      <c r="J87" s="49"/>
      <c r="K87" s="17"/>
      <c r="L87" s="17"/>
      <c r="M87" s="48"/>
      <c r="N87" s="48"/>
      <c r="O87" s="50" t="str">
        <f t="shared" si="5"/>
        <v/>
      </c>
      <c r="P87" s="17"/>
      <c r="Q87" s="50"/>
      <c r="R87" s="50"/>
      <c r="S87" s="17"/>
      <c r="T87" s="21"/>
    </row>
    <row r="88" spans="1:20" x14ac:dyDescent="0.45">
      <c r="A88" s="30" t="str">
        <f t="shared" si="4"/>
        <v/>
      </c>
      <c r="B88" s="41"/>
      <c r="C88" s="38"/>
      <c r="D88" s="38"/>
      <c r="E88" s="38"/>
      <c r="F88" s="38"/>
      <c r="G88" s="38"/>
      <c r="H88" s="48"/>
      <c r="I88" s="48"/>
      <c r="J88" s="49"/>
      <c r="K88" s="17"/>
      <c r="L88" s="17"/>
      <c r="M88" s="48"/>
      <c r="N88" s="48"/>
      <c r="O88" s="50" t="str">
        <f t="shared" si="5"/>
        <v/>
      </c>
      <c r="P88" s="17"/>
      <c r="Q88" s="50"/>
      <c r="R88" s="50"/>
      <c r="S88" s="17"/>
      <c r="T88" s="21"/>
    </row>
    <row r="89" spans="1:20" x14ac:dyDescent="0.45">
      <c r="A89" s="30" t="str">
        <f t="shared" si="4"/>
        <v/>
      </c>
      <c r="B89" s="41"/>
      <c r="C89" s="38"/>
      <c r="D89" s="38"/>
      <c r="E89" s="38"/>
      <c r="F89" s="38"/>
      <c r="G89" s="38"/>
      <c r="H89" s="48"/>
      <c r="I89" s="48"/>
      <c r="J89" s="49"/>
      <c r="K89" s="17"/>
      <c r="L89" s="17"/>
      <c r="M89" s="48"/>
      <c r="N89" s="48"/>
      <c r="O89" s="50" t="str">
        <f t="shared" si="5"/>
        <v/>
      </c>
      <c r="P89" s="17"/>
      <c r="Q89" s="50"/>
      <c r="R89" s="50"/>
      <c r="S89" s="17"/>
      <c r="T89" s="21"/>
    </row>
    <row r="90" spans="1:20" x14ac:dyDescent="0.45">
      <c r="A90" s="30" t="str">
        <f t="shared" si="4"/>
        <v/>
      </c>
      <c r="B90" s="41"/>
      <c r="C90" s="38"/>
      <c r="D90" s="38"/>
      <c r="E90" s="38"/>
      <c r="F90" s="38"/>
      <c r="G90" s="38"/>
      <c r="H90" s="48"/>
      <c r="I90" s="48"/>
      <c r="J90" s="49"/>
      <c r="K90" s="17"/>
      <c r="L90" s="17"/>
      <c r="M90" s="48"/>
      <c r="N90" s="48"/>
      <c r="O90" s="50" t="str">
        <f t="shared" si="5"/>
        <v/>
      </c>
      <c r="P90" s="17"/>
      <c r="Q90" s="50"/>
      <c r="R90" s="50"/>
      <c r="S90" s="17"/>
      <c r="T90" s="21"/>
    </row>
    <row r="91" spans="1:20" x14ac:dyDescent="0.45">
      <c r="A91" s="30" t="str">
        <f t="shared" si="4"/>
        <v/>
      </c>
      <c r="B91" s="41"/>
      <c r="C91" s="38"/>
      <c r="D91" s="38"/>
      <c r="E91" s="38"/>
      <c r="F91" s="38"/>
      <c r="G91" s="38"/>
      <c r="H91" s="48"/>
      <c r="I91" s="48"/>
      <c r="J91" s="49"/>
      <c r="K91" s="17"/>
      <c r="L91" s="17"/>
      <c r="M91" s="48"/>
      <c r="N91" s="48"/>
      <c r="O91" s="50" t="str">
        <f t="shared" si="5"/>
        <v/>
      </c>
      <c r="P91" s="17"/>
      <c r="Q91" s="50"/>
      <c r="R91" s="50"/>
      <c r="S91" s="17"/>
      <c r="T91" s="21"/>
    </row>
    <row r="92" spans="1:20" x14ac:dyDescent="0.45">
      <c r="A92" s="30" t="str">
        <f t="shared" si="4"/>
        <v/>
      </c>
      <c r="B92" s="41"/>
      <c r="C92" s="38"/>
      <c r="D92" s="38"/>
      <c r="E92" s="38"/>
      <c r="F92" s="38"/>
      <c r="G92" s="38"/>
      <c r="H92" s="48"/>
      <c r="I92" s="48"/>
      <c r="J92" s="49"/>
      <c r="K92" s="17"/>
      <c r="L92" s="17"/>
      <c r="M92" s="48"/>
      <c r="N92" s="48"/>
      <c r="O92" s="50" t="str">
        <f t="shared" si="5"/>
        <v/>
      </c>
      <c r="P92" s="17"/>
      <c r="Q92" s="50"/>
      <c r="R92" s="50"/>
      <c r="S92" s="17"/>
      <c r="T92" s="21"/>
    </row>
    <row r="93" spans="1:20" x14ac:dyDescent="0.45">
      <c r="A93" s="30" t="str">
        <f t="shared" si="4"/>
        <v/>
      </c>
      <c r="B93" s="41"/>
      <c r="C93" s="38"/>
      <c r="D93" s="38"/>
      <c r="E93" s="38"/>
      <c r="F93" s="38"/>
      <c r="G93" s="38"/>
      <c r="H93" s="48"/>
      <c r="I93" s="48"/>
      <c r="J93" s="49"/>
      <c r="K93" s="17"/>
      <c r="L93" s="17"/>
      <c r="M93" s="48"/>
      <c r="N93" s="48"/>
      <c r="O93" s="50" t="str">
        <f t="shared" si="5"/>
        <v/>
      </c>
      <c r="P93" s="17"/>
      <c r="Q93" s="50"/>
      <c r="R93" s="50"/>
      <c r="S93" s="17"/>
      <c r="T93" s="21"/>
    </row>
    <row r="94" spans="1:20" x14ac:dyDescent="0.45">
      <c r="A94" s="30" t="str">
        <f t="shared" si="4"/>
        <v/>
      </c>
      <c r="B94" s="41"/>
      <c r="C94" s="38"/>
      <c r="D94" s="38"/>
      <c r="E94" s="38"/>
      <c r="F94" s="38"/>
      <c r="G94" s="38"/>
      <c r="H94" s="48"/>
      <c r="I94" s="48"/>
      <c r="J94" s="49"/>
      <c r="K94" s="17"/>
      <c r="L94" s="17"/>
      <c r="M94" s="48"/>
      <c r="N94" s="48"/>
      <c r="O94" s="50" t="str">
        <f t="shared" si="5"/>
        <v/>
      </c>
      <c r="P94" s="17"/>
      <c r="Q94" s="50"/>
      <c r="R94" s="50"/>
      <c r="S94" s="17"/>
      <c r="T94" s="21"/>
    </row>
    <row r="95" spans="1:20" x14ac:dyDescent="0.45">
      <c r="A95" s="30" t="str">
        <f t="shared" si="4"/>
        <v/>
      </c>
      <c r="B95" s="41"/>
      <c r="C95" s="38"/>
      <c r="D95" s="38"/>
      <c r="E95" s="38"/>
      <c r="F95" s="38"/>
      <c r="G95" s="38"/>
      <c r="H95" s="48"/>
      <c r="I95" s="48"/>
      <c r="J95" s="49"/>
      <c r="K95" s="17"/>
      <c r="L95" s="17"/>
      <c r="M95" s="48"/>
      <c r="N95" s="48"/>
      <c r="O95" s="50" t="str">
        <f t="shared" si="5"/>
        <v/>
      </c>
      <c r="P95" s="17"/>
      <c r="Q95" s="50"/>
      <c r="R95" s="50"/>
      <c r="S95" s="17"/>
      <c r="T95" s="21"/>
    </row>
    <row r="96" spans="1:20" x14ac:dyDescent="0.45">
      <c r="A96" s="30" t="str">
        <f t="shared" si="4"/>
        <v/>
      </c>
      <c r="B96" s="41"/>
      <c r="C96" s="38"/>
      <c r="D96" s="38"/>
      <c r="E96" s="38"/>
      <c r="F96" s="38"/>
      <c r="G96" s="38"/>
      <c r="H96" s="48"/>
      <c r="I96" s="48"/>
      <c r="J96" s="49"/>
      <c r="K96" s="17"/>
      <c r="L96" s="17"/>
      <c r="M96" s="48"/>
      <c r="N96" s="48"/>
      <c r="O96" s="50" t="str">
        <f t="shared" si="5"/>
        <v/>
      </c>
      <c r="P96" s="17"/>
      <c r="Q96" s="50"/>
      <c r="R96" s="50"/>
      <c r="S96" s="17"/>
      <c r="T96" s="21"/>
    </row>
    <row r="97" spans="1:20" x14ac:dyDescent="0.45">
      <c r="A97" s="30" t="str">
        <f t="shared" si="4"/>
        <v/>
      </c>
      <c r="B97" s="41"/>
      <c r="C97" s="38"/>
      <c r="D97" s="38"/>
      <c r="E97" s="38"/>
      <c r="F97" s="38"/>
      <c r="G97" s="38"/>
      <c r="H97" s="48"/>
      <c r="I97" s="48"/>
      <c r="J97" s="49"/>
      <c r="K97" s="17"/>
      <c r="L97" s="17"/>
      <c r="M97" s="48"/>
      <c r="N97" s="48"/>
      <c r="O97" s="50" t="str">
        <f t="shared" si="5"/>
        <v/>
      </c>
      <c r="P97" s="17"/>
      <c r="Q97" s="50"/>
      <c r="R97" s="50"/>
      <c r="S97" s="17"/>
      <c r="T97" s="21"/>
    </row>
    <row r="98" spans="1:20" x14ac:dyDescent="0.45">
      <c r="A98" s="30" t="str">
        <f t="shared" ref="A98:A129" si="6">IF(B98="","","HS-"&amp;TEXT(ROW()-4,"000"))</f>
        <v/>
      </c>
      <c r="B98" s="41"/>
      <c r="C98" s="38"/>
      <c r="D98" s="38"/>
      <c r="E98" s="38"/>
      <c r="F98" s="38"/>
      <c r="G98" s="38"/>
      <c r="H98" s="48"/>
      <c r="I98" s="48"/>
      <c r="J98" s="49"/>
      <c r="K98" s="17"/>
      <c r="L98" s="17"/>
      <c r="M98" s="48"/>
      <c r="N98" s="48"/>
      <c r="O98" s="50" t="str">
        <f t="shared" ref="O98:O129" si="7">IF(B98="","",B98+IF(M98="Khẩn cấp",1,IF(M98="Cao",2,5)))</f>
        <v/>
      </c>
      <c r="P98" s="17"/>
      <c r="Q98" s="50"/>
      <c r="R98" s="50"/>
      <c r="S98" s="17"/>
      <c r="T98" s="21"/>
    </row>
    <row r="99" spans="1:20" x14ac:dyDescent="0.45">
      <c r="A99" s="30" t="str">
        <f t="shared" si="6"/>
        <v/>
      </c>
      <c r="B99" s="41"/>
      <c r="C99" s="38"/>
      <c r="D99" s="38"/>
      <c r="E99" s="38"/>
      <c r="F99" s="38"/>
      <c r="G99" s="38"/>
      <c r="H99" s="48"/>
      <c r="I99" s="48"/>
      <c r="J99" s="49"/>
      <c r="K99" s="17"/>
      <c r="L99" s="17"/>
      <c r="M99" s="48"/>
      <c r="N99" s="48"/>
      <c r="O99" s="50" t="str">
        <f t="shared" si="7"/>
        <v/>
      </c>
      <c r="P99" s="17"/>
      <c r="Q99" s="50"/>
      <c r="R99" s="50"/>
      <c r="S99" s="17"/>
      <c r="T99" s="21"/>
    </row>
    <row r="100" spans="1:20" x14ac:dyDescent="0.45">
      <c r="A100" s="30" t="str">
        <f t="shared" si="6"/>
        <v/>
      </c>
      <c r="B100" s="41"/>
      <c r="C100" s="38"/>
      <c r="D100" s="38"/>
      <c r="E100" s="38"/>
      <c r="F100" s="38"/>
      <c r="G100" s="38"/>
      <c r="H100" s="48"/>
      <c r="I100" s="48"/>
      <c r="J100" s="49"/>
      <c r="K100" s="17"/>
      <c r="L100" s="17"/>
      <c r="M100" s="48"/>
      <c r="N100" s="48"/>
      <c r="O100" s="50" t="str">
        <f t="shared" si="7"/>
        <v/>
      </c>
      <c r="P100" s="17"/>
      <c r="Q100" s="50"/>
      <c r="R100" s="50"/>
      <c r="S100" s="17"/>
      <c r="T100" s="21"/>
    </row>
    <row r="101" spans="1:20" x14ac:dyDescent="0.45">
      <c r="A101" s="30" t="str">
        <f t="shared" si="6"/>
        <v/>
      </c>
      <c r="B101" s="41"/>
      <c r="C101" s="38"/>
      <c r="D101" s="38"/>
      <c r="E101" s="38"/>
      <c r="F101" s="38"/>
      <c r="G101" s="38"/>
      <c r="H101" s="48"/>
      <c r="I101" s="48"/>
      <c r="J101" s="49"/>
      <c r="K101" s="17"/>
      <c r="L101" s="17"/>
      <c r="M101" s="48"/>
      <c r="N101" s="48"/>
      <c r="O101" s="50" t="str">
        <f t="shared" si="7"/>
        <v/>
      </c>
      <c r="P101" s="17"/>
      <c r="Q101" s="50"/>
      <c r="R101" s="50"/>
      <c r="S101" s="17"/>
      <c r="T101" s="21"/>
    </row>
    <row r="102" spans="1:20" x14ac:dyDescent="0.45">
      <c r="A102" s="30" t="str">
        <f t="shared" si="6"/>
        <v/>
      </c>
      <c r="B102" s="41"/>
      <c r="C102" s="38"/>
      <c r="D102" s="38"/>
      <c r="E102" s="38"/>
      <c r="F102" s="38"/>
      <c r="G102" s="38"/>
      <c r="H102" s="48"/>
      <c r="I102" s="48"/>
      <c r="J102" s="49"/>
      <c r="K102" s="17"/>
      <c r="L102" s="17"/>
      <c r="M102" s="48"/>
      <c r="N102" s="48"/>
      <c r="O102" s="50" t="str">
        <f t="shared" si="7"/>
        <v/>
      </c>
      <c r="P102" s="17"/>
      <c r="Q102" s="50"/>
      <c r="R102" s="50"/>
      <c r="S102" s="17"/>
      <c r="T102" s="21"/>
    </row>
    <row r="103" spans="1:20" x14ac:dyDescent="0.45">
      <c r="A103" s="30" t="str">
        <f t="shared" si="6"/>
        <v/>
      </c>
      <c r="B103" s="41"/>
      <c r="C103" s="38"/>
      <c r="D103" s="38"/>
      <c r="E103" s="38"/>
      <c r="F103" s="38"/>
      <c r="G103" s="38"/>
      <c r="H103" s="48"/>
      <c r="I103" s="48"/>
      <c r="J103" s="49"/>
      <c r="K103" s="17"/>
      <c r="L103" s="17"/>
      <c r="M103" s="48"/>
      <c r="N103" s="48"/>
      <c r="O103" s="50" t="str">
        <f t="shared" si="7"/>
        <v/>
      </c>
      <c r="P103" s="17"/>
      <c r="Q103" s="50"/>
      <c r="R103" s="50"/>
      <c r="S103" s="17"/>
      <c r="T103" s="21"/>
    </row>
    <row r="104" spans="1:20" x14ac:dyDescent="0.45">
      <c r="A104" s="30" t="str">
        <f t="shared" si="6"/>
        <v/>
      </c>
      <c r="B104" s="41"/>
      <c r="C104" s="38"/>
      <c r="D104" s="38"/>
      <c r="E104" s="38"/>
      <c r="F104" s="38"/>
      <c r="G104" s="38"/>
      <c r="H104" s="48"/>
      <c r="I104" s="48"/>
      <c r="J104" s="49"/>
      <c r="K104" s="17"/>
      <c r="L104" s="17"/>
      <c r="M104" s="48"/>
      <c r="N104" s="48"/>
      <c r="O104" s="50" t="str">
        <f t="shared" si="7"/>
        <v/>
      </c>
      <c r="P104" s="17"/>
      <c r="Q104" s="50"/>
      <c r="R104" s="50"/>
      <c r="S104" s="17"/>
      <c r="T104" s="21"/>
    </row>
    <row r="105" spans="1:20" x14ac:dyDescent="0.45">
      <c r="A105" s="30" t="str">
        <f t="shared" si="6"/>
        <v/>
      </c>
      <c r="B105" s="41"/>
      <c r="C105" s="38"/>
      <c r="D105" s="38"/>
      <c r="E105" s="38"/>
      <c r="F105" s="38"/>
      <c r="G105" s="38"/>
      <c r="H105" s="48"/>
      <c r="I105" s="48"/>
      <c r="J105" s="49"/>
      <c r="K105" s="17"/>
      <c r="L105" s="17"/>
      <c r="M105" s="48"/>
      <c r="N105" s="48"/>
      <c r="O105" s="50" t="str">
        <f t="shared" si="7"/>
        <v/>
      </c>
      <c r="P105" s="17"/>
      <c r="Q105" s="50"/>
      <c r="R105" s="50"/>
      <c r="S105" s="17"/>
      <c r="T105" s="21"/>
    </row>
    <row r="106" spans="1:20" x14ac:dyDescent="0.45">
      <c r="A106" s="30" t="str">
        <f t="shared" si="6"/>
        <v/>
      </c>
      <c r="B106" s="41"/>
      <c r="C106" s="38"/>
      <c r="D106" s="38"/>
      <c r="E106" s="38"/>
      <c r="F106" s="38"/>
      <c r="G106" s="38"/>
      <c r="H106" s="48"/>
      <c r="I106" s="48"/>
      <c r="J106" s="49"/>
      <c r="K106" s="17"/>
      <c r="L106" s="17"/>
      <c r="M106" s="48"/>
      <c r="N106" s="48"/>
      <c r="O106" s="50" t="str">
        <f t="shared" si="7"/>
        <v/>
      </c>
      <c r="P106" s="17"/>
      <c r="Q106" s="50"/>
      <c r="R106" s="50"/>
      <c r="S106" s="17"/>
      <c r="T106" s="21"/>
    </row>
    <row r="107" spans="1:20" x14ac:dyDescent="0.45">
      <c r="A107" s="30" t="str">
        <f t="shared" si="6"/>
        <v/>
      </c>
      <c r="B107" s="41"/>
      <c r="C107" s="38"/>
      <c r="D107" s="38"/>
      <c r="E107" s="38"/>
      <c r="F107" s="38"/>
      <c r="G107" s="38"/>
      <c r="H107" s="48"/>
      <c r="I107" s="48"/>
      <c r="J107" s="49"/>
      <c r="K107" s="17"/>
      <c r="L107" s="17"/>
      <c r="M107" s="48"/>
      <c r="N107" s="48"/>
      <c r="O107" s="50" t="str">
        <f t="shared" si="7"/>
        <v/>
      </c>
      <c r="P107" s="17"/>
      <c r="Q107" s="50"/>
      <c r="R107" s="50"/>
      <c r="S107" s="17"/>
      <c r="T107" s="21"/>
    </row>
    <row r="108" spans="1:20" x14ac:dyDescent="0.45">
      <c r="A108" s="30" t="str">
        <f t="shared" si="6"/>
        <v/>
      </c>
      <c r="B108" s="41"/>
      <c r="C108" s="38"/>
      <c r="D108" s="38"/>
      <c r="E108" s="38"/>
      <c r="F108" s="38"/>
      <c r="G108" s="38"/>
      <c r="H108" s="48"/>
      <c r="I108" s="48"/>
      <c r="J108" s="49"/>
      <c r="K108" s="17"/>
      <c r="L108" s="17"/>
      <c r="M108" s="48"/>
      <c r="N108" s="48"/>
      <c r="O108" s="50" t="str">
        <f t="shared" si="7"/>
        <v/>
      </c>
      <c r="P108" s="17"/>
      <c r="Q108" s="50"/>
      <c r="R108" s="50"/>
      <c r="S108" s="17"/>
      <c r="T108" s="21"/>
    </row>
    <row r="109" spans="1:20" x14ac:dyDescent="0.45">
      <c r="A109" s="30" t="str">
        <f t="shared" si="6"/>
        <v/>
      </c>
      <c r="B109" s="41"/>
      <c r="C109" s="38"/>
      <c r="D109" s="38"/>
      <c r="E109" s="38"/>
      <c r="F109" s="38"/>
      <c r="G109" s="38"/>
      <c r="H109" s="48"/>
      <c r="I109" s="48"/>
      <c r="J109" s="49"/>
      <c r="K109" s="17"/>
      <c r="L109" s="17"/>
      <c r="M109" s="48"/>
      <c r="N109" s="48"/>
      <c r="O109" s="50" t="str">
        <f t="shared" si="7"/>
        <v/>
      </c>
      <c r="P109" s="17"/>
      <c r="Q109" s="50"/>
      <c r="R109" s="50"/>
      <c r="S109" s="17"/>
      <c r="T109" s="21"/>
    </row>
    <row r="110" spans="1:20" x14ac:dyDescent="0.45">
      <c r="A110" s="30" t="str">
        <f t="shared" si="6"/>
        <v/>
      </c>
      <c r="B110" s="41"/>
      <c r="C110" s="38"/>
      <c r="D110" s="38"/>
      <c r="E110" s="38"/>
      <c r="F110" s="38"/>
      <c r="G110" s="38"/>
      <c r="H110" s="48"/>
      <c r="I110" s="48"/>
      <c r="J110" s="49"/>
      <c r="K110" s="17"/>
      <c r="L110" s="17"/>
      <c r="M110" s="48"/>
      <c r="N110" s="48"/>
      <c r="O110" s="50" t="str">
        <f t="shared" si="7"/>
        <v/>
      </c>
      <c r="P110" s="17"/>
      <c r="Q110" s="50"/>
      <c r="R110" s="50"/>
      <c r="S110" s="17"/>
      <c r="T110" s="21"/>
    </row>
    <row r="111" spans="1:20" x14ac:dyDescent="0.45">
      <c r="A111" s="30" t="str">
        <f t="shared" si="6"/>
        <v/>
      </c>
      <c r="B111" s="41"/>
      <c r="C111" s="38"/>
      <c r="D111" s="38"/>
      <c r="E111" s="38"/>
      <c r="F111" s="38"/>
      <c r="G111" s="38"/>
      <c r="H111" s="48"/>
      <c r="I111" s="48"/>
      <c r="J111" s="49"/>
      <c r="K111" s="17"/>
      <c r="L111" s="17"/>
      <c r="M111" s="48"/>
      <c r="N111" s="48"/>
      <c r="O111" s="50" t="str">
        <f t="shared" si="7"/>
        <v/>
      </c>
      <c r="P111" s="17"/>
      <c r="Q111" s="50"/>
      <c r="R111" s="50"/>
      <c r="S111" s="17"/>
      <c r="T111" s="21"/>
    </row>
    <row r="112" spans="1:20" x14ac:dyDescent="0.45">
      <c r="A112" s="30" t="str">
        <f t="shared" si="6"/>
        <v/>
      </c>
      <c r="B112" s="41"/>
      <c r="C112" s="38"/>
      <c r="D112" s="38"/>
      <c r="E112" s="38"/>
      <c r="F112" s="38"/>
      <c r="G112" s="38"/>
      <c r="H112" s="48"/>
      <c r="I112" s="48"/>
      <c r="J112" s="49"/>
      <c r="K112" s="17"/>
      <c r="L112" s="17"/>
      <c r="M112" s="48"/>
      <c r="N112" s="48"/>
      <c r="O112" s="50" t="str">
        <f t="shared" si="7"/>
        <v/>
      </c>
      <c r="P112" s="17"/>
      <c r="Q112" s="50"/>
      <c r="R112" s="50"/>
      <c r="S112" s="17"/>
      <c r="T112" s="21"/>
    </row>
    <row r="113" spans="1:20" x14ac:dyDescent="0.45">
      <c r="A113" s="30" t="str">
        <f t="shared" si="6"/>
        <v/>
      </c>
      <c r="B113" s="41"/>
      <c r="C113" s="38"/>
      <c r="D113" s="38"/>
      <c r="E113" s="38"/>
      <c r="F113" s="38"/>
      <c r="G113" s="38"/>
      <c r="H113" s="48"/>
      <c r="I113" s="48"/>
      <c r="J113" s="49"/>
      <c r="K113" s="17"/>
      <c r="L113" s="17"/>
      <c r="M113" s="48"/>
      <c r="N113" s="48"/>
      <c r="O113" s="50" t="str">
        <f t="shared" si="7"/>
        <v/>
      </c>
      <c r="P113" s="17"/>
      <c r="Q113" s="50"/>
      <c r="R113" s="50"/>
      <c r="S113" s="17"/>
      <c r="T113" s="21"/>
    </row>
    <row r="114" spans="1:20" x14ac:dyDescent="0.45">
      <c r="A114" s="30" t="str">
        <f t="shared" si="6"/>
        <v/>
      </c>
      <c r="B114" s="41"/>
      <c r="C114" s="38"/>
      <c r="D114" s="38"/>
      <c r="E114" s="38"/>
      <c r="F114" s="38"/>
      <c r="G114" s="38"/>
      <c r="H114" s="48"/>
      <c r="I114" s="48"/>
      <c r="J114" s="49"/>
      <c r="K114" s="17"/>
      <c r="L114" s="17"/>
      <c r="M114" s="48"/>
      <c r="N114" s="48"/>
      <c r="O114" s="50" t="str">
        <f t="shared" si="7"/>
        <v/>
      </c>
      <c r="P114" s="17"/>
      <c r="Q114" s="50"/>
      <c r="R114" s="50"/>
      <c r="S114" s="17"/>
      <c r="T114" s="21"/>
    </row>
    <row r="115" spans="1:20" x14ac:dyDescent="0.45">
      <c r="A115" s="30" t="str">
        <f t="shared" si="6"/>
        <v/>
      </c>
      <c r="B115" s="41"/>
      <c r="C115" s="38"/>
      <c r="D115" s="38"/>
      <c r="E115" s="38"/>
      <c r="F115" s="38"/>
      <c r="G115" s="38"/>
      <c r="H115" s="48"/>
      <c r="I115" s="48"/>
      <c r="J115" s="49"/>
      <c r="K115" s="17"/>
      <c r="L115" s="17"/>
      <c r="M115" s="48"/>
      <c r="N115" s="48"/>
      <c r="O115" s="50" t="str">
        <f t="shared" si="7"/>
        <v/>
      </c>
      <c r="P115" s="17"/>
      <c r="Q115" s="50"/>
      <c r="R115" s="50"/>
      <c r="S115" s="17"/>
      <c r="T115" s="21"/>
    </row>
    <row r="116" spans="1:20" x14ac:dyDescent="0.45">
      <c r="A116" s="30" t="str">
        <f t="shared" si="6"/>
        <v/>
      </c>
      <c r="B116" s="41"/>
      <c r="C116" s="38"/>
      <c r="D116" s="38"/>
      <c r="E116" s="38"/>
      <c r="F116" s="38"/>
      <c r="G116" s="38"/>
      <c r="H116" s="48"/>
      <c r="I116" s="48"/>
      <c r="J116" s="49"/>
      <c r="K116" s="17"/>
      <c r="L116" s="17"/>
      <c r="M116" s="48"/>
      <c r="N116" s="48"/>
      <c r="O116" s="50" t="str">
        <f t="shared" si="7"/>
        <v/>
      </c>
      <c r="P116" s="17"/>
      <c r="Q116" s="50"/>
      <c r="R116" s="50"/>
      <c r="S116" s="17"/>
      <c r="T116" s="21"/>
    </row>
    <row r="117" spans="1:20" x14ac:dyDescent="0.45">
      <c r="A117" s="30" t="str">
        <f t="shared" si="6"/>
        <v/>
      </c>
      <c r="B117" s="41"/>
      <c r="C117" s="38"/>
      <c r="D117" s="38"/>
      <c r="E117" s="38"/>
      <c r="F117" s="38"/>
      <c r="G117" s="38"/>
      <c r="H117" s="48"/>
      <c r="I117" s="48"/>
      <c r="J117" s="49"/>
      <c r="K117" s="17"/>
      <c r="L117" s="17"/>
      <c r="M117" s="48"/>
      <c r="N117" s="48"/>
      <c r="O117" s="50" t="str">
        <f t="shared" si="7"/>
        <v/>
      </c>
      <c r="P117" s="17"/>
      <c r="Q117" s="50"/>
      <c r="R117" s="50"/>
      <c r="S117" s="17"/>
      <c r="T117" s="21"/>
    </row>
    <row r="118" spans="1:20" x14ac:dyDescent="0.45">
      <c r="A118" s="30" t="str">
        <f t="shared" si="6"/>
        <v/>
      </c>
      <c r="B118" s="41"/>
      <c r="C118" s="38"/>
      <c r="D118" s="38"/>
      <c r="E118" s="38"/>
      <c r="F118" s="38"/>
      <c r="G118" s="38"/>
      <c r="H118" s="48"/>
      <c r="I118" s="48"/>
      <c r="J118" s="49"/>
      <c r="K118" s="17"/>
      <c r="L118" s="17"/>
      <c r="M118" s="48"/>
      <c r="N118" s="48"/>
      <c r="O118" s="50" t="str">
        <f t="shared" si="7"/>
        <v/>
      </c>
      <c r="P118" s="17"/>
      <c r="Q118" s="50"/>
      <c r="R118" s="50"/>
      <c r="S118" s="17"/>
      <c r="T118" s="21"/>
    </row>
    <row r="119" spans="1:20" x14ac:dyDescent="0.45">
      <c r="A119" s="30" t="str">
        <f t="shared" si="6"/>
        <v/>
      </c>
      <c r="B119" s="41"/>
      <c r="C119" s="38"/>
      <c r="D119" s="38"/>
      <c r="E119" s="38"/>
      <c r="F119" s="38"/>
      <c r="G119" s="38"/>
      <c r="H119" s="48"/>
      <c r="I119" s="48"/>
      <c r="J119" s="49"/>
      <c r="K119" s="17"/>
      <c r="L119" s="17"/>
      <c r="M119" s="48"/>
      <c r="N119" s="48"/>
      <c r="O119" s="50" t="str">
        <f t="shared" si="7"/>
        <v/>
      </c>
      <c r="P119" s="17"/>
      <c r="Q119" s="50"/>
      <c r="R119" s="50"/>
      <c r="S119" s="17"/>
      <c r="T119" s="21"/>
    </row>
    <row r="120" spans="1:20" x14ac:dyDescent="0.45">
      <c r="A120" s="30" t="str">
        <f t="shared" si="6"/>
        <v/>
      </c>
      <c r="B120" s="41"/>
      <c r="C120" s="38"/>
      <c r="D120" s="38"/>
      <c r="E120" s="38"/>
      <c r="F120" s="38"/>
      <c r="G120" s="38"/>
      <c r="H120" s="48"/>
      <c r="I120" s="48"/>
      <c r="J120" s="49"/>
      <c r="K120" s="17"/>
      <c r="L120" s="17"/>
      <c r="M120" s="48"/>
      <c r="N120" s="48"/>
      <c r="O120" s="50" t="str">
        <f t="shared" si="7"/>
        <v/>
      </c>
      <c r="P120" s="17"/>
      <c r="Q120" s="50"/>
      <c r="R120" s="50"/>
      <c r="S120" s="17"/>
      <c r="T120" s="21"/>
    </row>
    <row r="121" spans="1:20" x14ac:dyDescent="0.45">
      <c r="A121" s="30" t="str">
        <f t="shared" si="6"/>
        <v/>
      </c>
      <c r="B121" s="41"/>
      <c r="C121" s="38"/>
      <c r="D121" s="38"/>
      <c r="E121" s="38"/>
      <c r="F121" s="38"/>
      <c r="G121" s="38"/>
      <c r="H121" s="48"/>
      <c r="I121" s="48"/>
      <c r="J121" s="49"/>
      <c r="K121" s="17"/>
      <c r="L121" s="17"/>
      <c r="M121" s="48"/>
      <c r="N121" s="48"/>
      <c r="O121" s="50" t="str">
        <f t="shared" si="7"/>
        <v/>
      </c>
      <c r="P121" s="17"/>
      <c r="Q121" s="50"/>
      <c r="R121" s="50"/>
      <c r="S121" s="17"/>
      <c r="T121" s="21"/>
    </row>
    <row r="122" spans="1:20" x14ac:dyDescent="0.45">
      <c r="A122" s="30" t="str">
        <f t="shared" si="6"/>
        <v/>
      </c>
      <c r="B122" s="41"/>
      <c r="C122" s="38"/>
      <c r="D122" s="38"/>
      <c r="E122" s="38"/>
      <c r="F122" s="38"/>
      <c r="G122" s="38"/>
      <c r="H122" s="48"/>
      <c r="I122" s="48"/>
      <c r="J122" s="49"/>
      <c r="K122" s="17"/>
      <c r="L122" s="17"/>
      <c r="M122" s="48"/>
      <c r="N122" s="48"/>
      <c r="O122" s="50" t="str">
        <f t="shared" si="7"/>
        <v/>
      </c>
      <c r="P122" s="17"/>
      <c r="Q122" s="50"/>
      <c r="R122" s="50"/>
      <c r="S122" s="17"/>
      <c r="T122" s="21"/>
    </row>
    <row r="123" spans="1:20" x14ac:dyDescent="0.45">
      <c r="A123" s="30" t="str">
        <f t="shared" si="6"/>
        <v/>
      </c>
      <c r="B123" s="41"/>
      <c r="C123" s="38"/>
      <c r="D123" s="38"/>
      <c r="E123" s="38"/>
      <c r="F123" s="38"/>
      <c r="G123" s="38"/>
      <c r="H123" s="48"/>
      <c r="I123" s="48"/>
      <c r="J123" s="49"/>
      <c r="K123" s="17"/>
      <c r="L123" s="17"/>
      <c r="M123" s="48"/>
      <c r="N123" s="48"/>
      <c r="O123" s="50" t="str">
        <f t="shared" si="7"/>
        <v/>
      </c>
      <c r="P123" s="17"/>
      <c r="Q123" s="50"/>
      <c r="R123" s="50"/>
      <c r="S123" s="17"/>
      <c r="T123" s="21"/>
    </row>
    <row r="124" spans="1:20" x14ac:dyDescent="0.45">
      <c r="A124" s="30" t="str">
        <f t="shared" si="6"/>
        <v/>
      </c>
      <c r="B124" s="41"/>
      <c r="C124" s="38"/>
      <c r="D124" s="38"/>
      <c r="E124" s="38"/>
      <c r="F124" s="38"/>
      <c r="G124" s="38"/>
      <c r="H124" s="48"/>
      <c r="I124" s="48"/>
      <c r="J124" s="49"/>
      <c r="K124" s="17"/>
      <c r="L124" s="17"/>
      <c r="M124" s="48"/>
      <c r="N124" s="48"/>
      <c r="O124" s="50" t="str">
        <f t="shared" si="7"/>
        <v/>
      </c>
      <c r="P124" s="17"/>
      <c r="Q124" s="50"/>
      <c r="R124" s="50"/>
      <c r="S124" s="17"/>
      <c r="T124" s="21"/>
    </row>
    <row r="125" spans="1:20" x14ac:dyDescent="0.45">
      <c r="A125" s="30" t="str">
        <f t="shared" si="6"/>
        <v/>
      </c>
      <c r="B125" s="41"/>
      <c r="C125" s="38"/>
      <c r="D125" s="38"/>
      <c r="E125" s="38"/>
      <c r="F125" s="38"/>
      <c r="G125" s="38"/>
      <c r="H125" s="48"/>
      <c r="I125" s="48"/>
      <c r="J125" s="49"/>
      <c r="K125" s="17"/>
      <c r="L125" s="17"/>
      <c r="M125" s="48"/>
      <c r="N125" s="48"/>
      <c r="O125" s="50" t="str">
        <f t="shared" si="7"/>
        <v/>
      </c>
      <c r="P125" s="17"/>
      <c r="Q125" s="50"/>
      <c r="R125" s="50"/>
      <c r="S125" s="17"/>
      <c r="T125" s="21"/>
    </row>
    <row r="126" spans="1:20" x14ac:dyDescent="0.45">
      <c r="A126" s="30" t="str">
        <f t="shared" si="6"/>
        <v/>
      </c>
      <c r="B126" s="41"/>
      <c r="C126" s="38"/>
      <c r="D126" s="38"/>
      <c r="E126" s="38"/>
      <c r="F126" s="38"/>
      <c r="G126" s="38"/>
      <c r="H126" s="48"/>
      <c r="I126" s="48"/>
      <c r="J126" s="49"/>
      <c r="K126" s="17"/>
      <c r="L126" s="17"/>
      <c r="M126" s="48"/>
      <c r="N126" s="48"/>
      <c r="O126" s="50" t="str">
        <f t="shared" si="7"/>
        <v/>
      </c>
      <c r="P126" s="17"/>
      <c r="Q126" s="50"/>
      <c r="R126" s="50"/>
      <c r="S126" s="17"/>
      <c r="T126" s="21"/>
    </row>
    <row r="127" spans="1:20" x14ac:dyDescent="0.45">
      <c r="A127" s="30" t="str">
        <f t="shared" si="6"/>
        <v/>
      </c>
      <c r="B127" s="41"/>
      <c r="C127" s="38"/>
      <c r="D127" s="38"/>
      <c r="E127" s="38"/>
      <c r="F127" s="38"/>
      <c r="G127" s="38"/>
      <c r="H127" s="48"/>
      <c r="I127" s="48"/>
      <c r="J127" s="49"/>
      <c r="K127" s="17"/>
      <c r="L127" s="17"/>
      <c r="M127" s="48"/>
      <c r="N127" s="48"/>
      <c r="O127" s="50" t="str">
        <f t="shared" si="7"/>
        <v/>
      </c>
      <c r="P127" s="17"/>
      <c r="Q127" s="50"/>
      <c r="R127" s="50"/>
      <c r="S127" s="17"/>
      <c r="T127" s="21"/>
    </row>
    <row r="128" spans="1:20" x14ac:dyDescent="0.45">
      <c r="A128" s="30" t="str">
        <f t="shared" si="6"/>
        <v/>
      </c>
      <c r="B128" s="41"/>
      <c r="C128" s="38"/>
      <c r="D128" s="38"/>
      <c r="E128" s="38"/>
      <c r="F128" s="38"/>
      <c r="G128" s="38"/>
      <c r="H128" s="48"/>
      <c r="I128" s="48"/>
      <c r="J128" s="49"/>
      <c r="K128" s="17"/>
      <c r="L128" s="17"/>
      <c r="M128" s="48"/>
      <c r="N128" s="48"/>
      <c r="O128" s="50" t="str">
        <f t="shared" si="7"/>
        <v/>
      </c>
      <c r="P128" s="17"/>
      <c r="Q128" s="50"/>
      <c r="R128" s="50"/>
      <c r="S128" s="17"/>
      <c r="T128" s="21"/>
    </row>
    <row r="129" spans="1:20" x14ac:dyDescent="0.45">
      <c r="A129" s="30" t="str">
        <f t="shared" si="6"/>
        <v/>
      </c>
      <c r="B129" s="41"/>
      <c r="C129" s="38"/>
      <c r="D129" s="38"/>
      <c r="E129" s="38"/>
      <c r="F129" s="38"/>
      <c r="G129" s="38"/>
      <c r="H129" s="48"/>
      <c r="I129" s="48"/>
      <c r="J129" s="49"/>
      <c r="K129" s="17"/>
      <c r="L129" s="17"/>
      <c r="M129" s="48"/>
      <c r="N129" s="48"/>
      <c r="O129" s="50" t="str">
        <f t="shared" si="7"/>
        <v/>
      </c>
      <c r="P129" s="17"/>
      <c r="Q129" s="50"/>
      <c r="R129" s="50"/>
      <c r="S129" s="17"/>
      <c r="T129" s="21"/>
    </row>
    <row r="130" spans="1:20" x14ac:dyDescent="0.45">
      <c r="A130" s="30" t="str">
        <f t="shared" ref="A130:A161" si="8">IF(B130="","","HS-"&amp;TEXT(ROW()-4,"000"))</f>
        <v/>
      </c>
      <c r="B130" s="41"/>
      <c r="C130" s="38"/>
      <c r="D130" s="38"/>
      <c r="E130" s="38"/>
      <c r="F130" s="38"/>
      <c r="G130" s="38"/>
      <c r="H130" s="48"/>
      <c r="I130" s="48"/>
      <c r="J130" s="49"/>
      <c r="K130" s="17"/>
      <c r="L130" s="17"/>
      <c r="M130" s="48"/>
      <c r="N130" s="48"/>
      <c r="O130" s="50" t="str">
        <f t="shared" ref="O130:O161" si="9">IF(B130="","",B130+IF(M130="Khẩn cấp",1,IF(M130="Cao",2,5)))</f>
        <v/>
      </c>
      <c r="P130" s="17"/>
      <c r="Q130" s="50"/>
      <c r="R130" s="50"/>
      <c r="S130" s="17"/>
      <c r="T130" s="21"/>
    </row>
    <row r="131" spans="1:20" x14ac:dyDescent="0.45">
      <c r="A131" s="30" t="str">
        <f t="shared" si="8"/>
        <v/>
      </c>
      <c r="B131" s="41"/>
      <c r="C131" s="38"/>
      <c r="D131" s="38"/>
      <c r="E131" s="38"/>
      <c r="F131" s="38"/>
      <c r="G131" s="38"/>
      <c r="H131" s="48"/>
      <c r="I131" s="48"/>
      <c r="J131" s="49"/>
      <c r="K131" s="17"/>
      <c r="L131" s="17"/>
      <c r="M131" s="48"/>
      <c r="N131" s="48"/>
      <c r="O131" s="50" t="str">
        <f t="shared" si="9"/>
        <v/>
      </c>
      <c r="P131" s="17"/>
      <c r="Q131" s="50"/>
      <c r="R131" s="50"/>
      <c r="S131" s="17"/>
      <c r="T131" s="21"/>
    </row>
    <row r="132" spans="1:20" x14ac:dyDescent="0.45">
      <c r="A132" s="30" t="str">
        <f t="shared" si="8"/>
        <v/>
      </c>
      <c r="B132" s="41"/>
      <c r="C132" s="38"/>
      <c r="D132" s="38"/>
      <c r="E132" s="38"/>
      <c r="F132" s="38"/>
      <c r="G132" s="38"/>
      <c r="H132" s="48"/>
      <c r="I132" s="48"/>
      <c r="J132" s="49"/>
      <c r="K132" s="17"/>
      <c r="L132" s="17"/>
      <c r="M132" s="48"/>
      <c r="N132" s="48"/>
      <c r="O132" s="50" t="str">
        <f t="shared" si="9"/>
        <v/>
      </c>
      <c r="P132" s="17"/>
      <c r="Q132" s="50"/>
      <c r="R132" s="50"/>
      <c r="S132" s="17"/>
      <c r="T132" s="21"/>
    </row>
    <row r="133" spans="1:20" x14ac:dyDescent="0.45">
      <c r="A133" s="30" t="str">
        <f t="shared" si="8"/>
        <v/>
      </c>
      <c r="B133" s="41"/>
      <c r="C133" s="38"/>
      <c r="D133" s="38"/>
      <c r="E133" s="38"/>
      <c r="F133" s="38"/>
      <c r="G133" s="38"/>
      <c r="H133" s="48"/>
      <c r="I133" s="48"/>
      <c r="J133" s="49"/>
      <c r="K133" s="17"/>
      <c r="L133" s="17"/>
      <c r="M133" s="48"/>
      <c r="N133" s="48"/>
      <c r="O133" s="50" t="str">
        <f t="shared" si="9"/>
        <v/>
      </c>
      <c r="P133" s="17"/>
      <c r="Q133" s="50"/>
      <c r="R133" s="50"/>
      <c r="S133" s="17"/>
      <c r="T133" s="21"/>
    </row>
    <row r="134" spans="1:20" x14ac:dyDescent="0.45">
      <c r="A134" s="30" t="str">
        <f t="shared" si="8"/>
        <v/>
      </c>
      <c r="B134" s="41"/>
      <c r="C134" s="38"/>
      <c r="D134" s="38"/>
      <c r="E134" s="38"/>
      <c r="F134" s="38"/>
      <c r="G134" s="38"/>
      <c r="H134" s="48"/>
      <c r="I134" s="48"/>
      <c r="J134" s="49"/>
      <c r="K134" s="17"/>
      <c r="L134" s="17"/>
      <c r="M134" s="48"/>
      <c r="N134" s="48"/>
      <c r="O134" s="50" t="str">
        <f t="shared" si="9"/>
        <v/>
      </c>
      <c r="P134" s="17"/>
      <c r="Q134" s="50"/>
      <c r="R134" s="50"/>
      <c r="S134" s="17"/>
      <c r="T134" s="21"/>
    </row>
    <row r="135" spans="1:20" x14ac:dyDescent="0.45">
      <c r="A135" s="30" t="str">
        <f t="shared" si="8"/>
        <v/>
      </c>
      <c r="B135" s="41"/>
      <c r="C135" s="38"/>
      <c r="D135" s="38"/>
      <c r="E135" s="38"/>
      <c r="F135" s="38"/>
      <c r="G135" s="38"/>
      <c r="H135" s="48"/>
      <c r="I135" s="48"/>
      <c r="J135" s="49"/>
      <c r="K135" s="17"/>
      <c r="L135" s="17"/>
      <c r="M135" s="48"/>
      <c r="N135" s="48"/>
      <c r="O135" s="50" t="str">
        <f t="shared" si="9"/>
        <v/>
      </c>
      <c r="P135" s="17"/>
      <c r="Q135" s="50"/>
      <c r="R135" s="50"/>
      <c r="S135" s="17"/>
      <c r="T135" s="21"/>
    </row>
    <row r="136" spans="1:20" x14ac:dyDescent="0.45">
      <c r="A136" s="30" t="str">
        <f t="shared" si="8"/>
        <v/>
      </c>
      <c r="B136" s="41"/>
      <c r="C136" s="38"/>
      <c r="D136" s="38"/>
      <c r="E136" s="38"/>
      <c r="F136" s="38"/>
      <c r="G136" s="38"/>
      <c r="H136" s="48"/>
      <c r="I136" s="48"/>
      <c r="J136" s="49"/>
      <c r="K136" s="17"/>
      <c r="L136" s="17"/>
      <c r="M136" s="48"/>
      <c r="N136" s="48"/>
      <c r="O136" s="50" t="str">
        <f t="shared" si="9"/>
        <v/>
      </c>
      <c r="P136" s="17"/>
      <c r="Q136" s="50"/>
      <c r="R136" s="50"/>
      <c r="S136" s="17"/>
      <c r="T136" s="21"/>
    </row>
    <row r="137" spans="1:20" x14ac:dyDescent="0.45">
      <c r="A137" s="30" t="str">
        <f t="shared" si="8"/>
        <v/>
      </c>
      <c r="B137" s="41"/>
      <c r="C137" s="38"/>
      <c r="D137" s="38"/>
      <c r="E137" s="38"/>
      <c r="F137" s="38"/>
      <c r="G137" s="38"/>
      <c r="H137" s="48"/>
      <c r="I137" s="48"/>
      <c r="J137" s="49"/>
      <c r="K137" s="17"/>
      <c r="L137" s="17"/>
      <c r="M137" s="48"/>
      <c r="N137" s="48"/>
      <c r="O137" s="50" t="str">
        <f t="shared" si="9"/>
        <v/>
      </c>
      <c r="P137" s="17"/>
      <c r="Q137" s="50"/>
      <c r="R137" s="50"/>
      <c r="S137" s="17"/>
      <c r="T137" s="21"/>
    </row>
    <row r="138" spans="1:20" x14ac:dyDescent="0.45">
      <c r="A138" s="30" t="str">
        <f t="shared" si="8"/>
        <v/>
      </c>
      <c r="B138" s="41"/>
      <c r="C138" s="38"/>
      <c r="D138" s="38"/>
      <c r="E138" s="38"/>
      <c r="F138" s="38"/>
      <c r="G138" s="38"/>
      <c r="H138" s="48"/>
      <c r="I138" s="48"/>
      <c r="J138" s="49"/>
      <c r="K138" s="17"/>
      <c r="L138" s="17"/>
      <c r="M138" s="48"/>
      <c r="N138" s="48"/>
      <c r="O138" s="50" t="str">
        <f t="shared" si="9"/>
        <v/>
      </c>
      <c r="P138" s="17"/>
      <c r="Q138" s="50"/>
      <c r="R138" s="50"/>
      <c r="S138" s="17"/>
      <c r="T138" s="21"/>
    </row>
    <row r="139" spans="1:20" x14ac:dyDescent="0.45">
      <c r="A139" s="30" t="str">
        <f t="shared" si="8"/>
        <v/>
      </c>
      <c r="B139" s="41"/>
      <c r="C139" s="38"/>
      <c r="D139" s="38"/>
      <c r="E139" s="38"/>
      <c r="F139" s="38"/>
      <c r="G139" s="38"/>
      <c r="H139" s="48"/>
      <c r="I139" s="48"/>
      <c r="J139" s="49"/>
      <c r="K139" s="17"/>
      <c r="L139" s="17"/>
      <c r="M139" s="48"/>
      <c r="N139" s="48"/>
      <c r="O139" s="50" t="str">
        <f t="shared" si="9"/>
        <v/>
      </c>
      <c r="P139" s="17"/>
      <c r="Q139" s="50"/>
      <c r="R139" s="50"/>
      <c r="S139" s="17"/>
      <c r="T139" s="21"/>
    </row>
    <row r="140" spans="1:20" x14ac:dyDescent="0.45">
      <c r="A140" s="30" t="str">
        <f t="shared" si="8"/>
        <v/>
      </c>
      <c r="B140" s="41"/>
      <c r="C140" s="38"/>
      <c r="D140" s="38"/>
      <c r="E140" s="38"/>
      <c r="F140" s="38"/>
      <c r="G140" s="38"/>
      <c r="H140" s="48"/>
      <c r="I140" s="48"/>
      <c r="J140" s="49"/>
      <c r="K140" s="17"/>
      <c r="L140" s="17"/>
      <c r="M140" s="48"/>
      <c r="N140" s="48"/>
      <c r="O140" s="50" t="str">
        <f t="shared" si="9"/>
        <v/>
      </c>
      <c r="P140" s="17"/>
      <c r="Q140" s="50"/>
      <c r="R140" s="50"/>
      <c r="S140" s="17"/>
      <c r="T140" s="21"/>
    </row>
    <row r="141" spans="1:20" x14ac:dyDescent="0.45">
      <c r="A141" s="30" t="str">
        <f t="shared" si="8"/>
        <v/>
      </c>
      <c r="B141" s="41"/>
      <c r="C141" s="38"/>
      <c r="D141" s="38"/>
      <c r="E141" s="38"/>
      <c r="F141" s="38"/>
      <c r="G141" s="38"/>
      <c r="H141" s="48"/>
      <c r="I141" s="48"/>
      <c r="J141" s="49"/>
      <c r="K141" s="17"/>
      <c r="L141" s="17"/>
      <c r="M141" s="48"/>
      <c r="N141" s="48"/>
      <c r="O141" s="50" t="str">
        <f t="shared" si="9"/>
        <v/>
      </c>
      <c r="P141" s="17"/>
      <c r="Q141" s="50"/>
      <c r="R141" s="50"/>
      <c r="S141" s="17"/>
      <c r="T141" s="21"/>
    </row>
    <row r="142" spans="1:20" x14ac:dyDescent="0.45">
      <c r="A142" s="30" t="str">
        <f t="shared" si="8"/>
        <v/>
      </c>
      <c r="B142" s="41"/>
      <c r="C142" s="38"/>
      <c r="D142" s="38"/>
      <c r="E142" s="38"/>
      <c r="F142" s="38"/>
      <c r="G142" s="38"/>
      <c r="H142" s="48"/>
      <c r="I142" s="48"/>
      <c r="J142" s="49"/>
      <c r="K142" s="17"/>
      <c r="L142" s="17"/>
      <c r="M142" s="48"/>
      <c r="N142" s="48"/>
      <c r="O142" s="50" t="str">
        <f t="shared" si="9"/>
        <v/>
      </c>
      <c r="P142" s="17"/>
      <c r="Q142" s="50"/>
      <c r="R142" s="50"/>
      <c r="S142" s="17"/>
      <c r="T142" s="21"/>
    </row>
    <row r="143" spans="1:20" x14ac:dyDescent="0.45">
      <c r="A143" s="30" t="str">
        <f t="shared" si="8"/>
        <v/>
      </c>
      <c r="B143" s="41"/>
      <c r="C143" s="38"/>
      <c r="D143" s="38"/>
      <c r="E143" s="38"/>
      <c r="F143" s="38"/>
      <c r="G143" s="38"/>
      <c r="H143" s="48"/>
      <c r="I143" s="48"/>
      <c r="J143" s="49"/>
      <c r="K143" s="17"/>
      <c r="L143" s="17"/>
      <c r="M143" s="48"/>
      <c r="N143" s="48"/>
      <c r="O143" s="50" t="str">
        <f t="shared" si="9"/>
        <v/>
      </c>
      <c r="P143" s="17"/>
      <c r="Q143" s="50"/>
      <c r="R143" s="50"/>
      <c r="S143" s="17"/>
      <c r="T143" s="21"/>
    </row>
    <row r="144" spans="1:20" x14ac:dyDescent="0.45">
      <c r="A144" s="30" t="str">
        <f t="shared" si="8"/>
        <v/>
      </c>
      <c r="B144" s="41"/>
      <c r="C144" s="38"/>
      <c r="D144" s="38"/>
      <c r="E144" s="38"/>
      <c r="F144" s="38"/>
      <c r="G144" s="38"/>
      <c r="H144" s="48"/>
      <c r="I144" s="48"/>
      <c r="J144" s="49"/>
      <c r="K144" s="17"/>
      <c r="L144" s="17"/>
      <c r="M144" s="48"/>
      <c r="N144" s="48"/>
      <c r="O144" s="50" t="str">
        <f t="shared" si="9"/>
        <v/>
      </c>
      <c r="P144" s="17"/>
      <c r="Q144" s="50"/>
      <c r="R144" s="50"/>
      <c r="S144" s="17"/>
      <c r="T144" s="21"/>
    </row>
    <row r="145" spans="1:20" x14ac:dyDescent="0.45">
      <c r="A145" s="30" t="str">
        <f t="shared" si="8"/>
        <v/>
      </c>
      <c r="B145" s="41"/>
      <c r="C145" s="38"/>
      <c r="D145" s="38"/>
      <c r="E145" s="38"/>
      <c r="F145" s="38"/>
      <c r="G145" s="38"/>
      <c r="H145" s="48"/>
      <c r="I145" s="48"/>
      <c r="J145" s="49"/>
      <c r="K145" s="17"/>
      <c r="L145" s="17"/>
      <c r="M145" s="48"/>
      <c r="N145" s="48"/>
      <c r="O145" s="50" t="str">
        <f t="shared" si="9"/>
        <v/>
      </c>
      <c r="P145" s="17"/>
      <c r="Q145" s="50"/>
      <c r="R145" s="50"/>
      <c r="S145" s="17"/>
      <c r="T145" s="21"/>
    </row>
    <row r="146" spans="1:20" x14ac:dyDescent="0.45">
      <c r="A146" s="30" t="str">
        <f t="shared" si="8"/>
        <v/>
      </c>
      <c r="B146" s="41"/>
      <c r="C146" s="38"/>
      <c r="D146" s="38"/>
      <c r="E146" s="38"/>
      <c r="F146" s="38"/>
      <c r="G146" s="38"/>
      <c r="H146" s="48"/>
      <c r="I146" s="48"/>
      <c r="J146" s="49"/>
      <c r="K146" s="17"/>
      <c r="L146" s="17"/>
      <c r="M146" s="48"/>
      <c r="N146" s="48"/>
      <c r="O146" s="50" t="str">
        <f t="shared" si="9"/>
        <v/>
      </c>
      <c r="P146" s="17"/>
      <c r="Q146" s="50"/>
      <c r="R146" s="50"/>
      <c r="S146" s="17"/>
      <c r="T146" s="21"/>
    </row>
    <row r="147" spans="1:20" x14ac:dyDescent="0.45">
      <c r="A147" s="30" t="str">
        <f t="shared" si="8"/>
        <v/>
      </c>
      <c r="B147" s="41"/>
      <c r="C147" s="38"/>
      <c r="D147" s="38"/>
      <c r="E147" s="38"/>
      <c r="F147" s="38"/>
      <c r="G147" s="38"/>
      <c r="H147" s="48"/>
      <c r="I147" s="48"/>
      <c r="J147" s="49"/>
      <c r="K147" s="17"/>
      <c r="L147" s="17"/>
      <c r="M147" s="48"/>
      <c r="N147" s="48"/>
      <c r="O147" s="50" t="str">
        <f t="shared" si="9"/>
        <v/>
      </c>
      <c r="P147" s="17"/>
      <c r="Q147" s="50"/>
      <c r="R147" s="50"/>
      <c r="S147" s="17"/>
      <c r="T147" s="21"/>
    </row>
    <row r="148" spans="1:20" x14ac:dyDescent="0.45">
      <c r="A148" s="30" t="str">
        <f t="shared" si="8"/>
        <v/>
      </c>
      <c r="B148" s="41"/>
      <c r="C148" s="38"/>
      <c r="D148" s="38"/>
      <c r="E148" s="38"/>
      <c r="F148" s="38"/>
      <c r="G148" s="38"/>
      <c r="H148" s="48"/>
      <c r="I148" s="48"/>
      <c r="J148" s="49"/>
      <c r="K148" s="17"/>
      <c r="L148" s="17"/>
      <c r="M148" s="48"/>
      <c r="N148" s="48"/>
      <c r="O148" s="50" t="str">
        <f t="shared" si="9"/>
        <v/>
      </c>
      <c r="P148" s="17"/>
      <c r="Q148" s="50"/>
      <c r="R148" s="50"/>
      <c r="S148" s="17"/>
      <c r="T148" s="21"/>
    </row>
    <row r="149" spans="1:20" x14ac:dyDescent="0.45">
      <c r="A149" s="30" t="str">
        <f t="shared" si="8"/>
        <v/>
      </c>
      <c r="B149" s="41"/>
      <c r="C149" s="38"/>
      <c r="D149" s="38"/>
      <c r="E149" s="38"/>
      <c r="F149" s="38"/>
      <c r="G149" s="38"/>
      <c r="H149" s="48"/>
      <c r="I149" s="48"/>
      <c r="J149" s="49"/>
      <c r="K149" s="17"/>
      <c r="L149" s="17"/>
      <c r="M149" s="48"/>
      <c r="N149" s="48"/>
      <c r="O149" s="50" t="str">
        <f t="shared" si="9"/>
        <v/>
      </c>
      <c r="P149" s="17"/>
      <c r="Q149" s="50"/>
      <c r="R149" s="50"/>
      <c r="S149" s="17"/>
      <c r="T149" s="21"/>
    </row>
    <row r="150" spans="1:20" x14ac:dyDescent="0.45">
      <c r="A150" s="30" t="str">
        <f t="shared" si="8"/>
        <v/>
      </c>
      <c r="B150" s="41"/>
      <c r="C150" s="38"/>
      <c r="D150" s="38"/>
      <c r="E150" s="38"/>
      <c r="F150" s="38"/>
      <c r="G150" s="38"/>
      <c r="H150" s="48"/>
      <c r="I150" s="48"/>
      <c r="J150" s="49"/>
      <c r="K150" s="17"/>
      <c r="L150" s="17"/>
      <c r="M150" s="48"/>
      <c r="N150" s="48"/>
      <c r="O150" s="50" t="str">
        <f t="shared" si="9"/>
        <v/>
      </c>
      <c r="P150" s="17"/>
      <c r="Q150" s="50"/>
      <c r="R150" s="50"/>
      <c r="S150" s="17"/>
      <c r="T150" s="21"/>
    </row>
    <row r="151" spans="1:20" x14ac:dyDescent="0.45">
      <c r="A151" s="30" t="str">
        <f t="shared" si="8"/>
        <v/>
      </c>
      <c r="B151" s="41"/>
      <c r="C151" s="38"/>
      <c r="D151" s="38"/>
      <c r="E151" s="38"/>
      <c r="F151" s="38"/>
      <c r="G151" s="38"/>
      <c r="H151" s="48"/>
      <c r="I151" s="48"/>
      <c r="J151" s="49"/>
      <c r="K151" s="17"/>
      <c r="L151" s="17"/>
      <c r="M151" s="48"/>
      <c r="N151" s="48"/>
      <c r="O151" s="50" t="str">
        <f t="shared" si="9"/>
        <v/>
      </c>
      <c r="P151" s="17"/>
      <c r="Q151" s="50"/>
      <c r="R151" s="50"/>
      <c r="S151" s="17"/>
      <c r="T151" s="21"/>
    </row>
    <row r="152" spans="1:20" x14ac:dyDescent="0.45">
      <c r="A152" s="30" t="str">
        <f t="shared" si="8"/>
        <v/>
      </c>
      <c r="B152" s="41"/>
      <c r="C152" s="38"/>
      <c r="D152" s="38"/>
      <c r="E152" s="38"/>
      <c r="F152" s="38"/>
      <c r="G152" s="38"/>
      <c r="H152" s="48"/>
      <c r="I152" s="48"/>
      <c r="J152" s="49"/>
      <c r="K152" s="17"/>
      <c r="L152" s="17"/>
      <c r="M152" s="48"/>
      <c r="N152" s="48"/>
      <c r="O152" s="50" t="str">
        <f t="shared" si="9"/>
        <v/>
      </c>
      <c r="P152" s="17"/>
      <c r="Q152" s="50"/>
      <c r="R152" s="50"/>
      <c r="S152" s="17"/>
      <c r="T152" s="21"/>
    </row>
    <row r="153" spans="1:20" x14ac:dyDescent="0.45">
      <c r="A153" s="30" t="str">
        <f t="shared" si="8"/>
        <v/>
      </c>
      <c r="B153" s="41"/>
      <c r="C153" s="38"/>
      <c r="D153" s="38"/>
      <c r="E153" s="38"/>
      <c r="F153" s="38"/>
      <c r="G153" s="38"/>
      <c r="H153" s="48"/>
      <c r="I153" s="48"/>
      <c r="J153" s="49"/>
      <c r="K153" s="17"/>
      <c r="L153" s="17"/>
      <c r="M153" s="48"/>
      <c r="N153" s="48"/>
      <c r="O153" s="50" t="str">
        <f t="shared" si="9"/>
        <v/>
      </c>
      <c r="P153" s="17"/>
      <c r="Q153" s="50"/>
      <c r="R153" s="50"/>
      <c r="S153" s="17"/>
      <c r="T153" s="21"/>
    </row>
    <row r="154" spans="1:20" x14ac:dyDescent="0.45">
      <c r="A154" s="30" t="str">
        <f t="shared" si="8"/>
        <v/>
      </c>
      <c r="B154" s="41"/>
      <c r="C154" s="38"/>
      <c r="D154" s="38"/>
      <c r="E154" s="38"/>
      <c r="F154" s="38"/>
      <c r="G154" s="38"/>
      <c r="H154" s="48"/>
      <c r="I154" s="48"/>
      <c r="J154" s="49"/>
      <c r="K154" s="17"/>
      <c r="L154" s="17"/>
      <c r="M154" s="48"/>
      <c r="N154" s="48"/>
      <c r="O154" s="50" t="str">
        <f t="shared" si="9"/>
        <v/>
      </c>
      <c r="P154" s="17"/>
      <c r="Q154" s="50"/>
      <c r="R154" s="50"/>
      <c r="S154" s="17"/>
      <c r="T154" s="21"/>
    </row>
    <row r="155" spans="1:20" x14ac:dyDescent="0.45">
      <c r="A155" s="30" t="str">
        <f t="shared" si="8"/>
        <v/>
      </c>
      <c r="B155" s="41"/>
      <c r="C155" s="38"/>
      <c r="D155" s="38"/>
      <c r="E155" s="38"/>
      <c r="F155" s="38"/>
      <c r="G155" s="38"/>
      <c r="H155" s="48"/>
      <c r="I155" s="48"/>
      <c r="J155" s="49"/>
      <c r="K155" s="17"/>
      <c r="L155" s="17"/>
      <c r="M155" s="48"/>
      <c r="N155" s="48"/>
      <c r="O155" s="50" t="str">
        <f t="shared" si="9"/>
        <v/>
      </c>
      <c r="P155" s="17"/>
      <c r="Q155" s="50"/>
      <c r="R155" s="50"/>
      <c r="S155" s="17"/>
      <c r="T155" s="21"/>
    </row>
    <row r="156" spans="1:20" x14ac:dyDescent="0.45">
      <c r="A156" s="30" t="str">
        <f t="shared" si="8"/>
        <v/>
      </c>
      <c r="B156" s="41"/>
      <c r="C156" s="38"/>
      <c r="D156" s="38"/>
      <c r="E156" s="38"/>
      <c r="F156" s="38"/>
      <c r="G156" s="38"/>
      <c r="H156" s="48"/>
      <c r="I156" s="48"/>
      <c r="J156" s="49"/>
      <c r="K156" s="17"/>
      <c r="L156" s="17"/>
      <c r="M156" s="48"/>
      <c r="N156" s="48"/>
      <c r="O156" s="50" t="str">
        <f t="shared" si="9"/>
        <v/>
      </c>
      <c r="P156" s="17"/>
      <c r="Q156" s="50"/>
      <c r="R156" s="50"/>
      <c r="S156" s="17"/>
      <c r="T156" s="21"/>
    </row>
    <row r="157" spans="1:20" x14ac:dyDescent="0.45">
      <c r="A157" s="30" t="str">
        <f t="shared" si="8"/>
        <v/>
      </c>
      <c r="B157" s="41"/>
      <c r="C157" s="38"/>
      <c r="D157" s="38"/>
      <c r="E157" s="38"/>
      <c r="F157" s="38"/>
      <c r="G157" s="38"/>
      <c r="H157" s="48"/>
      <c r="I157" s="48"/>
      <c r="J157" s="49"/>
      <c r="K157" s="17"/>
      <c r="L157" s="17"/>
      <c r="M157" s="48"/>
      <c r="N157" s="48"/>
      <c r="O157" s="50" t="str">
        <f t="shared" si="9"/>
        <v/>
      </c>
      <c r="P157" s="17"/>
      <c r="Q157" s="50"/>
      <c r="R157" s="50"/>
      <c r="S157" s="17"/>
      <c r="T157" s="21"/>
    </row>
    <row r="158" spans="1:20" x14ac:dyDescent="0.45">
      <c r="A158" s="30" t="str">
        <f t="shared" si="8"/>
        <v/>
      </c>
      <c r="B158" s="41"/>
      <c r="C158" s="38"/>
      <c r="D158" s="38"/>
      <c r="E158" s="38"/>
      <c r="F158" s="38"/>
      <c r="G158" s="38"/>
      <c r="H158" s="48"/>
      <c r="I158" s="48"/>
      <c r="J158" s="49"/>
      <c r="K158" s="17"/>
      <c r="L158" s="17"/>
      <c r="M158" s="48"/>
      <c r="N158" s="48"/>
      <c r="O158" s="50" t="str">
        <f t="shared" si="9"/>
        <v/>
      </c>
      <c r="P158" s="17"/>
      <c r="Q158" s="50"/>
      <c r="R158" s="50"/>
      <c r="S158" s="17"/>
      <c r="T158" s="21"/>
    </row>
    <row r="159" spans="1:20" x14ac:dyDescent="0.45">
      <c r="A159" s="30" t="str">
        <f t="shared" si="8"/>
        <v/>
      </c>
      <c r="B159" s="41"/>
      <c r="C159" s="38"/>
      <c r="D159" s="38"/>
      <c r="E159" s="38"/>
      <c r="F159" s="38"/>
      <c r="G159" s="38"/>
      <c r="H159" s="48"/>
      <c r="I159" s="48"/>
      <c r="J159" s="49"/>
      <c r="K159" s="17"/>
      <c r="L159" s="17"/>
      <c r="M159" s="48"/>
      <c r="N159" s="48"/>
      <c r="O159" s="50" t="str">
        <f t="shared" si="9"/>
        <v/>
      </c>
      <c r="P159" s="17"/>
      <c r="Q159" s="50"/>
      <c r="R159" s="50"/>
      <c r="S159" s="17"/>
      <c r="T159" s="21"/>
    </row>
    <row r="160" spans="1:20" x14ac:dyDescent="0.45">
      <c r="A160" s="30" t="str">
        <f t="shared" si="8"/>
        <v/>
      </c>
      <c r="B160" s="41"/>
      <c r="C160" s="38"/>
      <c r="D160" s="38"/>
      <c r="E160" s="38"/>
      <c r="F160" s="38"/>
      <c r="G160" s="38"/>
      <c r="H160" s="48"/>
      <c r="I160" s="48"/>
      <c r="J160" s="49"/>
      <c r="K160" s="17"/>
      <c r="L160" s="17"/>
      <c r="M160" s="48"/>
      <c r="N160" s="48"/>
      <c r="O160" s="50" t="str">
        <f t="shared" si="9"/>
        <v/>
      </c>
      <c r="P160" s="17"/>
      <c r="Q160" s="50"/>
      <c r="R160" s="50"/>
      <c r="S160" s="17"/>
      <c r="T160" s="21"/>
    </row>
    <row r="161" spans="1:20" x14ac:dyDescent="0.45">
      <c r="A161" s="30" t="str">
        <f t="shared" si="8"/>
        <v/>
      </c>
      <c r="B161" s="41"/>
      <c r="C161" s="38"/>
      <c r="D161" s="38"/>
      <c r="E161" s="38"/>
      <c r="F161" s="38"/>
      <c r="G161" s="38"/>
      <c r="H161" s="48"/>
      <c r="I161" s="48"/>
      <c r="J161" s="49"/>
      <c r="K161" s="17"/>
      <c r="L161" s="17"/>
      <c r="M161" s="48"/>
      <c r="N161" s="48"/>
      <c r="O161" s="50" t="str">
        <f t="shared" si="9"/>
        <v/>
      </c>
      <c r="P161" s="17"/>
      <c r="Q161" s="50"/>
      <c r="R161" s="50"/>
      <c r="S161" s="17"/>
      <c r="T161" s="21"/>
    </row>
    <row r="162" spans="1:20" x14ac:dyDescent="0.45">
      <c r="A162" s="30" t="str">
        <f t="shared" ref="A162:A193" si="10">IF(B162="","","HS-"&amp;TEXT(ROW()-4,"000"))</f>
        <v/>
      </c>
      <c r="B162" s="41"/>
      <c r="C162" s="38"/>
      <c r="D162" s="38"/>
      <c r="E162" s="38"/>
      <c r="F162" s="38"/>
      <c r="G162" s="38"/>
      <c r="H162" s="48"/>
      <c r="I162" s="48"/>
      <c r="J162" s="49"/>
      <c r="K162" s="17"/>
      <c r="L162" s="17"/>
      <c r="M162" s="48"/>
      <c r="N162" s="48"/>
      <c r="O162" s="50" t="str">
        <f t="shared" ref="O162:O193" si="11">IF(B162="","",B162+IF(M162="Khẩn cấp",1,IF(M162="Cao",2,5)))</f>
        <v/>
      </c>
      <c r="P162" s="17"/>
      <c r="Q162" s="50"/>
      <c r="R162" s="50"/>
      <c r="S162" s="17"/>
      <c r="T162" s="21"/>
    </row>
    <row r="163" spans="1:20" x14ac:dyDescent="0.45">
      <c r="A163" s="30" t="str">
        <f t="shared" si="10"/>
        <v/>
      </c>
      <c r="B163" s="41"/>
      <c r="C163" s="38"/>
      <c r="D163" s="38"/>
      <c r="E163" s="38"/>
      <c r="F163" s="38"/>
      <c r="G163" s="38"/>
      <c r="H163" s="48"/>
      <c r="I163" s="48"/>
      <c r="J163" s="49"/>
      <c r="K163" s="17"/>
      <c r="L163" s="17"/>
      <c r="M163" s="48"/>
      <c r="N163" s="48"/>
      <c r="O163" s="50" t="str">
        <f t="shared" si="11"/>
        <v/>
      </c>
      <c r="P163" s="17"/>
      <c r="Q163" s="50"/>
      <c r="R163" s="50"/>
      <c r="S163" s="17"/>
      <c r="T163" s="21"/>
    </row>
    <row r="164" spans="1:20" x14ac:dyDescent="0.45">
      <c r="A164" s="30" t="str">
        <f t="shared" si="10"/>
        <v/>
      </c>
      <c r="B164" s="41"/>
      <c r="C164" s="38"/>
      <c r="D164" s="38"/>
      <c r="E164" s="38"/>
      <c r="F164" s="38"/>
      <c r="G164" s="38"/>
      <c r="H164" s="48"/>
      <c r="I164" s="48"/>
      <c r="J164" s="49"/>
      <c r="K164" s="17"/>
      <c r="L164" s="17"/>
      <c r="M164" s="48"/>
      <c r="N164" s="48"/>
      <c r="O164" s="50" t="str">
        <f t="shared" si="11"/>
        <v/>
      </c>
      <c r="P164" s="17"/>
      <c r="Q164" s="50"/>
      <c r="R164" s="50"/>
      <c r="S164" s="17"/>
      <c r="T164" s="21"/>
    </row>
    <row r="165" spans="1:20" x14ac:dyDescent="0.45">
      <c r="A165" s="30" t="str">
        <f t="shared" si="10"/>
        <v/>
      </c>
      <c r="B165" s="41"/>
      <c r="C165" s="38"/>
      <c r="D165" s="38"/>
      <c r="E165" s="38"/>
      <c r="F165" s="38"/>
      <c r="G165" s="38"/>
      <c r="H165" s="48"/>
      <c r="I165" s="48"/>
      <c r="J165" s="49"/>
      <c r="K165" s="17"/>
      <c r="L165" s="17"/>
      <c r="M165" s="48"/>
      <c r="N165" s="48"/>
      <c r="O165" s="50" t="str">
        <f t="shared" si="11"/>
        <v/>
      </c>
      <c r="P165" s="17"/>
      <c r="Q165" s="50"/>
      <c r="R165" s="50"/>
      <c r="S165" s="17"/>
      <c r="T165" s="21"/>
    </row>
    <row r="166" spans="1:20" x14ac:dyDescent="0.45">
      <c r="A166" s="30" t="str">
        <f t="shared" si="10"/>
        <v/>
      </c>
      <c r="B166" s="41"/>
      <c r="C166" s="38"/>
      <c r="D166" s="38"/>
      <c r="E166" s="38"/>
      <c r="F166" s="38"/>
      <c r="G166" s="38"/>
      <c r="H166" s="48"/>
      <c r="I166" s="48"/>
      <c r="J166" s="49"/>
      <c r="K166" s="17"/>
      <c r="L166" s="17"/>
      <c r="M166" s="48"/>
      <c r="N166" s="48"/>
      <c r="O166" s="50" t="str">
        <f t="shared" si="11"/>
        <v/>
      </c>
      <c r="P166" s="17"/>
      <c r="Q166" s="50"/>
      <c r="R166" s="50"/>
      <c r="S166" s="17"/>
      <c r="T166" s="21"/>
    </row>
    <row r="167" spans="1:20" x14ac:dyDescent="0.45">
      <c r="A167" s="30" t="str">
        <f t="shared" si="10"/>
        <v/>
      </c>
      <c r="B167" s="41"/>
      <c r="C167" s="38"/>
      <c r="D167" s="38"/>
      <c r="E167" s="38"/>
      <c r="F167" s="38"/>
      <c r="G167" s="38"/>
      <c r="H167" s="48"/>
      <c r="I167" s="48"/>
      <c r="J167" s="49"/>
      <c r="K167" s="17"/>
      <c r="L167" s="17"/>
      <c r="M167" s="48"/>
      <c r="N167" s="48"/>
      <c r="O167" s="50" t="str">
        <f t="shared" si="11"/>
        <v/>
      </c>
      <c r="P167" s="17"/>
      <c r="Q167" s="50"/>
      <c r="R167" s="50"/>
      <c r="S167" s="17"/>
      <c r="T167" s="21"/>
    </row>
    <row r="168" spans="1:20" x14ac:dyDescent="0.45">
      <c r="A168" s="30" t="str">
        <f t="shared" si="10"/>
        <v/>
      </c>
      <c r="B168" s="41"/>
      <c r="C168" s="38"/>
      <c r="D168" s="38"/>
      <c r="E168" s="38"/>
      <c r="F168" s="38"/>
      <c r="G168" s="38"/>
      <c r="H168" s="48"/>
      <c r="I168" s="48"/>
      <c r="J168" s="49"/>
      <c r="K168" s="17"/>
      <c r="L168" s="17"/>
      <c r="M168" s="48"/>
      <c r="N168" s="48"/>
      <c r="O168" s="50" t="str">
        <f t="shared" si="11"/>
        <v/>
      </c>
      <c r="P168" s="17"/>
      <c r="Q168" s="50"/>
      <c r="R168" s="50"/>
      <c r="S168" s="17"/>
      <c r="T168" s="21"/>
    </row>
    <row r="169" spans="1:20" x14ac:dyDescent="0.45">
      <c r="A169" s="30" t="str">
        <f t="shared" si="10"/>
        <v/>
      </c>
      <c r="B169" s="41"/>
      <c r="C169" s="38"/>
      <c r="D169" s="38"/>
      <c r="E169" s="38"/>
      <c r="F169" s="38"/>
      <c r="G169" s="38"/>
      <c r="H169" s="48"/>
      <c r="I169" s="48"/>
      <c r="J169" s="49"/>
      <c r="K169" s="17"/>
      <c r="L169" s="17"/>
      <c r="M169" s="48"/>
      <c r="N169" s="48"/>
      <c r="O169" s="50" t="str">
        <f t="shared" si="11"/>
        <v/>
      </c>
      <c r="P169" s="17"/>
      <c r="Q169" s="50"/>
      <c r="R169" s="50"/>
      <c r="S169" s="17"/>
      <c r="T169" s="21"/>
    </row>
    <row r="170" spans="1:20" x14ac:dyDescent="0.45">
      <c r="A170" s="30" t="str">
        <f t="shared" si="10"/>
        <v/>
      </c>
      <c r="B170" s="41"/>
      <c r="C170" s="38"/>
      <c r="D170" s="38"/>
      <c r="E170" s="38"/>
      <c r="F170" s="38"/>
      <c r="G170" s="38"/>
      <c r="H170" s="48"/>
      <c r="I170" s="48"/>
      <c r="J170" s="49"/>
      <c r="K170" s="17"/>
      <c r="L170" s="17"/>
      <c r="M170" s="48"/>
      <c r="N170" s="48"/>
      <c r="O170" s="50" t="str">
        <f t="shared" si="11"/>
        <v/>
      </c>
      <c r="P170" s="17"/>
      <c r="Q170" s="50"/>
      <c r="R170" s="50"/>
      <c r="S170" s="17"/>
      <c r="T170" s="21"/>
    </row>
    <row r="171" spans="1:20" x14ac:dyDescent="0.45">
      <c r="A171" s="30" t="str">
        <f t="shared" si="10"/>
        <v/>
      </c>
      <c r="B171" s="41"/>
      <c r="C171" s="38"/>
      <c r="D171" s="38"/>
      <c r="E171" s="38"/>
      <c r="F171" s="38"/>
      <c r="G171" s="38"/>
      <c r="H171" s="48"/>
      <c r="I171" s="48"/>
      <c r="J171" s="49"/>
      <c r="K171" s="17"/>
      <c r="L171" s="17"/>
      <c r="M171" s="48"/>
      <c r="N171" s="48"/>
      <c r="O171" s="50" t="str">
        <f t="shared" si="11"/>
        <v/>
      </c>
      <c r="P171" s="17"/>
      <c r="Q171" s="50"/>
      <c r="R171" s="50"/>
      <c r="S171" s="17"/>
      <c r="T171" s="21"/>
    </row>
    <row r="172" spans="1:20" x14ac:dyDescent="0.45">
      <c r="A172" s="30" t="str">
        <f t="shared" si="10"/>
        <v/>
      </c>
      <c r="B172" s="41"/>
      <c r="C172" s="38"/>
      <c r="D172" s="38"/>
      <c r="E172" s="38"/>
      <c r="F172" s="38"/>
      <c r="G172" s="38"/>
      <c r="H172" s="48"/>
      <c r="I172" s="48"/>
      <c r="J172" s="49"/>
      <c r="K172" s="17"/>
      <c r="L172" s="17"/>
      <c r="M172" s="48"/>
      <c r="N172" s="48"/>
      <c r="O172" s="50" t="str">
        <f t="shared" si="11"/>
        <v/>
      </c>
      <c r="P172" s="17"/>
      <c r="Q172" s="50"/>
      <c r="R172" s="50"/>
      <c r="S172" s="17"/>
      <c r="T172" s="21"/>
    </row>
    <row r="173" spans="1:20" x14ac:dyDescent="0.45">
      <c r="A173" s="30" t="str">
        <f t="shared" si="10"/>
        <v/>
      </c>
      <c r="B173" s="41"/>
      <c r="C173" s="38"/>
      <c r="D173" s="38"/>
      <c r="E173" s="38"/>
      <c r="F173" s="38"/>
      <c r="G173" s="38"/>
      <c r="H173" s="48"/>
      <c r="I173" s="48"/>
      <c r="J173" s="49"/>
      <c r="K173" s="17"/>
      <c r="L173" s="17"/>
      <c r="M173" s="48"/>
      <c r="N173" s="48"/>
      <c r="O173" s="50" t="str">
        <f t="shared" si="11"/>
        <v/>
      </c>
      <c r="P173" s="17"/>
      <c r="Q173" s="50"/>
      <c r="R173" s="50"/>
      <c r="S173" s="17"/>
      <c r="T173" s="21"/>
    </row>
    <row r="174" spans="1:20" x14ac:dyDescent="0.45">
      <c r="A174" s="30" t="str">
        <f t="shared" si="10"/>
        <v/>
      </c>
      <c r="B174" s="41"/>
      <c r="C174" s="38"/>
      <c r="D174" s="38"/>
      <c r="E174" s="38"/>
      <c r="F174" s="38"/>
      <c r="G174" s="38"/>
      <c r="H174" s="48"/>
      <c r="I174" s="48"/>
      <c r="J174" s="49"/>
      <c r="K174" s="17"/>
      <c r="L174" s="17"/>
      <c r="M174" s="48"/>
      <c r="N174" s="48"/>
      <c r="O174" s="50" t="str">
        <f t="shared" si="11"/>
        <v/>
      </c>
      <c r="P174" s="17"/>
      <c r="Q174" s="50"/>
      <c r="R174" s="50"/>
      <c r="S174" s="17"/>
      <c r="T174" s="21"/>
    </row>
    <row r="175" spans="1:20" x14ac:dyDescent="0.45">
      <c r="A175" s="30" t="str">
        <f t="shared" si="10"/>
        <v/>
      </c>
      <c r="B175" s="41"/>
      <c r="C175" s="38"/>
      <c r="D175" s="38"/>
      <c r="E175" s="38"/>
      <c r="F175" s="38"/>
      <c r="G175" s="38"/>
      <c r="H175" s="48"/>
      <c r="I175" s="48"/>
      <c r="J175" s="49"/>
      <c r="K175" s="17"/>
      <c r="L175" s="17"/>
      <c r="M175" s="48"/>
      <c r="N175" s="48"/>
      <c r="O175" s="50" t="str">
        <f t="shared" si="11"/>
        <v/>
      </c>
      <c r="P175" s="17"/>
      <c r="Q175" s="50"/>
      <c r="R175" s="50"/>
      <c r="S175" s="17"/>
      <c r="T175" s="21"/>
    </row>
    <row r="176" spans="1:20" x14ac:dyDescent="0.45">
      <c r="A176" s="30" t="str">
        <f t="shared" si="10"/>
        <v/>
      </c>
      <c r="B176" s="41"/>
      <c r="C176" s="38"/>
      <c r="D176" s="38"/>
      <c r="E176" s="38"/>
      <c r="F176" s="38"/>
      <c r="G176" s="38"/>
      <c r="H176" s="48"/>
      <c r="I176" s="48"/>
      <c r="J176" s="49"/>
      <c r="K176" s="17"/>
      <c r="L176" s="17"/>
      <c r="M176" s="48"/>
      <c r="N176" s="48"/>
      <c r="O176" s="50" t="str">
        <f t="shared" si="11"/>
        <v/>
      </c>
      <c r="P176" s="17"/>
      <c r="Q176" s="50"/>
      <c r="R176" s="50"/>
      <c r="S176" s="17"/>
      <c r="T176" s="21"/>
    </row>
    <row r="177" spans="1:20" x14ac:dyDescent="0.45">
      <c r="A177" s="30" t="str">
        <f t="shared" si="10"/>
        <v/>
      </c>
      <c r="B177" s="41"/>
      <c r="C177" s="38"/>
      <c r="D177" s="38"/>
      <c r="E177" s="38"/>
      <c r="F177" s="38"/>
      <c r="G177" s="38"/>
      <c r="H177" s="48"/>
      <c r="I177" s="48"/>
      <c r="J177" s="49"/>
      <c r="K177" s="17"/>
      <c r="L177" s="17"/>
      <c r="M177" s="48"/>
      <c r="N177" s="48"/>
      <c r="O177" s="50" t="str">
        <f t="shared" si="11"/>
        <v/>
      </c>
      <c r="P177" s="17"/>
      <c r="Q177" s="50"/>
      <c r="R177" s="50"/>
      <c r="S177" s="17"/>
      <c r="T177" s="21"/>
    </row>
    <row r="178" spans="1:20" x14ac:dyDescent="0.45">
      <c r="A178" s="30" t="str">
        <f t="shared" si="10"/>
        <v/>
      </c>
      <c r="B178" s="41"/>
      <c r="C178" s="38"/>
      <c r="D178" s="38"/>
      <c r="E178" s="38"/>
      <c r="F178" s="38"/>
      <c r="G178" s="38"/>
      <c r="H178" s="48"/>
      <c r="I178" s="48"/>
      <c r="J178" s="49"/>
      <c r="K178" s="17"/>
      <c r="L178" s="17"/>
      <c r="M178" s="48"/>
      <c r="N178" s="48"/>
      <c r="O178" s="50" t="str">
        <f t="shared" si="11"/>
        <v/>
      </c>
      <c r="P178" s="17"/>
      <c r="Q178" s="50"/>
      <c r="R178" s="50"/>
      <c r="S178" s="17"/>
      <c r="T178" s="21"/>
    </row>
    <row r="179" spans="1:20" x14ac:dyDescent="0.45">
      <c r="A179" s="30" t="str">
        <f t="shared" si="10"/>
        <v/>
      </c>
      <c r="B179" s="41"/>
      <c r="C179" s="38"/>
      <c r="D179" s="38"/>
      <c r="E179" s="38"/>
      <c r="F179" s="38"/>
      <c r="G179" s="38"/>
      <c r="H179" s="48"/>
      <c r="I179" s="48"/>
      <c r="J179" s="49"/>
      <c r="K179" s="17"/>
      <c r="L179" s="17"/>
      <c r="M179" s="48"/>
      <c r="N179" s="48"/>
      <c r="O179" s="50" t="str">
        <f t="shared" si="11"/>
        <v/>
      </c>
      <c r="P179" s="17"/>
      <c r="Q179" s="50"/>
      <c r="R179" s="50"/>
      <c r="S179" s="17"/>
      <c r="T179" s="21"/>
    </row>
    <row r="180" spans="1:20" x14ac:dyDescent="0.45">
      <c r="A180" s="30" t="str">
        <f t="shared" si="10"/>
        <v/>
      </c>
      <c r="B180" s="41"/>
      <c r="C180" s="38"/>
      <c r="D180" s="38"/>
      <c r="E180" s="38"/>
      <c r="F180" s="38"/>
      <c r="G180" s="38"/>
      <c r="H180" s="48"/>
      <c r="I180" s="48"/>
      <c r="J180" s="49"/>
      <c r="K180" s="17"/>
      <c r="L180" s="17"/>
      <c r="M180" s="48"/>
      <c r="N180" s="48"/>
      <c r="O180" s="50" t="str">
        <f t="shared" si="11"/>
        <v/>
      </c>
      <c r="P180" s="17"/>
      <c r="Q180" s="50"/>
      <c r="R180" s="50"/>
      <c r="S180" s="17"/>
      <c r="T180" s="21"/>
    </row>
    <row r="181" spans="1:20" x14ac:dyDescent="0.45">
      <c r="A181" s="30" t="str">
        <f t="shared" si="10"/>
        <v/>
      </c>
      <c r="B181" s="41"/>
      <c r="C181" s="38"/>
      <c r="D181" s="38"/>
      <c r="E181" s="38"/>
      <c r="F181" s="38"/>
      <c r="G181" s="38"/>
      <c r="H181" s="48"/>
      <c r="I181" s="48"/>
      <c r="J181" s="49"/>
      <c r="K181" s="17"/>
      <c r="L181" s="17"/>
      <c r="M181" s="48"/>
      <c r="N181" s="48"/>
      <c r="O181" s="50" t="str">
        <f t="shared" si="11"/>
        <v/>
      </c>
      <c r="P181" s="17"/>
      <c r="Q181" s="50"/>
      <c r="R181" s="50"/>
      <c r="S181" s="17"/>
      <c r="T181" s="21"/>
    </row>
    <row r="182" spans="1:20" x14ac:dyDescent="0.45">
      <c r="A182" s="30" t="str">
        <f t="shared" si="10"/>
        <v/>
      </c>
      <c r="B182" s="41"/>
      <c r="C182" s="38"/>
      <c r="D182" s="38"/>
      <c r="E182" s="38"/>
      <c r="F182" s="38"/>
      <c r="G182" s="38"/>
      <c r="H182" s="48"/>
      <c r="I182" s="48"/>
      <c r="J182" s="49"/>
      <c r="K182" s="17"/>
      <c r="L182" s="17"/>
      <c r="M182" s="48"/>
      <c r="N182" s="48"/>
      <c r="O182" s="50" t="str">
        <f t="shared" si="11"/>
        <v/>
      </c>
      <c r="P182" s="17"/>
      <c r="Q182" s="50"/>
      <c r="R182" s="50"/>
      <c r="S182" s="17"/>
      <c r="T182" s="21"/>
    </row>
    <row r="183" spans="1:20" x14ac:dyDescent="0.45">
      <c r="A183" s="30" t="str">
        <f t="shared" si="10"/>
        <v/>
      </c>
      <c r="B183" s="41"/>
      <c r="C183" s="38"/>
      <c r="D183" s="38"/>
      <c r="E183" s="38"/>
      <c r="F183" s="38"/>
      <c r="G183" s="38"/>
      <c r="H183" s="48"/>
      <c r="I183" s="48"/>
      <c r="J183" s="49"/>
      <c r="K183" s="17"/>
      <c r="L183" s="17"/>
      <c r="M183" s="48"/>
      <c r="N183" s="48"/>
      <c r="O183" s="50" t="str">
        <f t="shared" si="11"/>
        <v/>
      </c>
      <c r="P183" s="17"/>
      <c r="Q183" s="50"/>
      <c r="R183" s="50"/>
      <c r="S183" s="17"/>
      <c r="T183" s="21"/>
    </row>
    <row r="184" spans="1:20" x14ac:dyDescent="0.45">
      <c r="A184" s="30" t="str">
        <f t="shared" si="10"/>
        <v/>
      </c>
      <c r="B184" s="41"/>
      <c r="C184" s="38"/>
      <c r="D184" s="38"/>
      <c r="E184" s="38"/>
      <c r="F184" s="38"/>
      <c r="G184" s="38"/>
      <c r="H184" s="48"/>
      <c r="I184" s="48"/>
      <c r="J184" s="49"/>
      <c r="K184" s="17"/>
      <c r="L184" s="17"/>
      <c r="M184" s="48"/>
      <c r="N184" s="48"/>
      <c r="O184" s="50" t="str">
        <f t="shared" si="11"/>
        <v/>
      </c>
      <c r="P184" s="17"/>
      <c r="Q184" s="50"/>
      <c r="R184" s="50"/>
      <c r="S184" s="17"/>
      <c r="T184" s="21"/>
    </row>
    <row r="185" spans="1:20" x14ac:dyDescent="0.45">
      <c r="A185" s="30" t="str">
        <f t="shared" si="10"/>
        <v/>
      </c>
      <c r="B185" s="41"/>
      <c r="C185" s="38"/>
      <c r="D185" s="38"/>
      <c r="E185" s="38"/>
      <c r="F185" s="38"/>
      <c r="G185" s="38"/>
      <c r="H185" s="48"/>
      <c r="I185" s="48"/>
      <c r="J185" s="49"/>
      <c r="K185" s="17"/>
      <c r="L185" s="17"/>
      <c r="M185" s="48"/>
      <c r="N185" s="48"/>
      <c r="O185" s="50" t="str">
        <f t="shared" si="11"/>
        <v/>
      </c>
      <c r="P185" s="17"/>
      <c r="Q185" s="50"/>
      <c r="R185" s="50"/>
      <c r="S185" s="17"/>
      <c r="T185" s="21"/>
    </row>
    <row r="186" spans="1:20" x14ac:dyDescent="0.45">
      <c r="A186" s="30" t="str">
        <f t="shared" si="10"/>
        <v/>
      </c>
      <c r="B186" s="41"/>
      <c r="C186" s="38"/>
      <c r="D186" s="38"/>
      <c r="E186" s="38"/>
      <c r="F186" s="38"/>
      <c r="G186" s="38"/>
      <c r="H186" s="48"/>
      <c r="I186" s="48"/>
      <c r="J186" s="49"/>
      <c r="K186" s="17"/>
      <c r="L186" s="17"/>
      <c r="M186" s="48"/>
      <c r="N186" s="48"/>
      <c r="O186" s="50" t="str">
        <f t="shared" si="11"/>
        <v/>
      </c>
      <c r="P186" s="17"/>
      <c r="Q186" s="50"/>
      <c r="R186" s="50"/>
      <c r="S186" s="17"/>
      <c r="T186" s="21"/>
    </row>
    <row r="187" spans="1:20" x14ac:dyDescent="0.45">
      <c r="A187" s="30" t="str">
        <f t="shared" si="10"/>
        <v/>
      </c>
      <c r="B187" s="41"/>
      <c r="C187" s="38"/>
      <c r="D187" s="38"/>
      <c r="E187" s="38"/>
      <c r="F187" s="38"/>
      <c r="G187" s="38"/>
      <c r="H187" s="48"/>
      <c r="I187" s="48"/>
      <c r="J187" s="49"/>
      <c r="K187" s="17"/>
      <c r="L187" s="17"/>
      <c r="M187" s="48"/>
      <c r="N187" s="48"/>
      <c r="O187" s="50" t="str">
        <f t="shared" si="11"/>
        <v/>
      </c>
      <c r="P187" s="17"/>
      <c r="Q187" s="50"/>
      <c r="R187" s="50"/>
      <c r="S187" s="17"/>
      <c r="T187" s="21"/>
    </row>
    <row r="188" spans="1:20" x14ac:dyDescent="0.45">
      <c r="A188" s="30" t="str">
        <f t="shared" si="10"/>
        <v/>
      </c>
      <c r="B188" s="41"/>
      <c r="C188" s="38"/>
      <c r="D188" s="38"/>
      <c r="E188" s="38"/>
      <c r="F188" s="38"/>
      <c r="G188" s="38"/>
      <c r="H188" s="48"/>
      <c r="I188" s="48"/>
      <c r="J188" s="49"/>
      <c r="K188" s="17"/>
      <c r="L188" s="17"/>
      <c r="M188" s="48"/>
      <c r="N188" s="48"/>
      <c r="O188" s="50" t="str">
        <f t="shared" si="11"/>
        <v/>
      </c>
      <c r="P188" s="17"/>
      <c r="Q188" s="50"/>
      <c r="R188" s="50"/>
      <c r="S188" s="17"/>
      <c r="T188" s="21"/>
    </row>
    <row r="189" spans="1:20" x14ac:dyDescent="0.45">
      <c r="A189" s="30" t="str">
        <f t="shared" si="10"/>
        <v/>
      </c>
      <c r="B189" s="41"/>
      <c r="C189" s="38"/>
      <c r="D189" s="38"/>
      <c r="E189" s="38"/>
      <c r="F189" s="38"/>
      <c r="G189" s="38"/>
      <c r="H189" s="48"/>
      <c r="I189" s="48"/>
      <c r="J189" s="49"/>
      <c r="K189" s="17"/>
      <c r="L189" s="17"/>
      <c r="M189" s="48"/>
      <c r="N189" s="48"/>
      <c r="O189" s="50" t="str">
        <f t="shared" si="11"/>
        <v/>
      </c>
      <c r="P189" s="17"/>
      <c r="Q189" s="50"/>
      <c r="R189" s="50"/>
      <c r="S189" s="17"/>
      <c r="T189" s="21"/>
    </row>
    <row r="190" spans="1:20" x14ac:dyDescent="0.45">
      <c r="A190" s="30" t="str">
        <f t="shared" si="10"/>
        <v/>
      </c>
      <c r="B190" s="41"/>
      <c r="C190" s="38"/>
      <c r="D190" s="38"/>
      <c r="E190" s="38"/>
      <c r="F190" s="38"/>
      <c r="G190" s="38"/>
      <c r="H190" s="48"/>
      <c r="I190" s="48"/>
      <c r="J190" s="49"/>
      <c r="K190" s="17"/>
      <c r="L190" s="17"/>
      <c r="M190" s="48"/>
      <c r="N190" s="48"/>
      <c r="O190" s="50" t="str">
        <f t="shared" si="11"/>
        <v/>
      </c>
      <c r="P190" s="17"/>
      <c r="Q190" s="50"/>
      <c r="R190" s="50"/>
      <c r="S190" s="17"/>
      <c r="T190" s="21"/>
    </row>
    <row r="191" spans="1:20" x14ac:dyDescent="0.45">
      <c r="A191" s="30" t="str">
        <f t="shared" si="10"/>
        <v/>
      </c>
      <c r="B191" s="41"/>
      <c r="C191" s="38"/>
      <c r="D191" s="38"/>
      <c r="E191" s="38"/>
      <c r="F191" s="38"/>
      <c r="G191" s="38"/>
      <c r="H191" s="48"/>
      <c r="I191" s="48"/>
      <c r="J191" s="49"/>
      <c r="K191" s="17"/>
      <c r="L191" s="17"/>
      <c r="M191" s="48"/>
      <c r="N191" s="48"/>
      <c r="O191" s="50" t="str">
        <f t="shared" si="11"/>
        <v/>
      </c>
      <c r="P191" s="17"/>
      <c r="Q191" s="50"/>
      <c r="R191" s="50"/>
      <c r="S191" s="17"/>
      <c r="T191" s="21"/>
    </row>
    <row r="192" spans="1:20" x14ac:dyDescent="0.45">
      <c r="A192" s="30" t="str">
        <f t="shared" si="10"/>
        <v/>
      </c>
      <c r="B192" s="41"/>
      <c r="C192" s="38"/>
      <c r="D192" s="38"/>
      <c r="E192" s="38"/>
      <c r="F192" s="38"/>
      <c r="G192" s="38"/>
      <c r="H192" s="48"/>
      <c r="I192" s="48"/>
      <c r="J192" s="49"/>
      <c r="K192" s="17"/>
      <c r="L192" s="17"/>
      <c r="M192" s="48"/>
      <c r="N192" s="48"/>
      <c r="O192" s="50" t="str">
        <f t="shared" si="11"/>
        <v/>
      </c>
      <c r="P192" s="17"/>
      <c r="Q192" s="50"/>
      <c r="R192" s="50"/>
      <c r="S192" s="17"/>
      <c r="T192" s="21"/>
    </row>
    <row r="193" spans="1:20" x14ac:dyDescent="0.45">
      <c r="A193" s="30" t="str">
        <f t="shared" si="10"/>
        <v/>
      </c>
      <c r="B193" s="41"/>
      <c r="C193" s="38"/>
      <c r="D193" s="38"/>
      <c r="E193" s="38"/>
      <c r="F193" s="38"/>
      <c r="G193" s="38"/>
      <c r="H193" s="48"/>
      <c r="I193" s="48"/>
      <c r="J193" s="49"/>
      <c r="K193" s="17"/>
      <c r="L193" s="17"/>
      <c r="M193" s="48"/>
      <c r="N193" s="48"/>
      <c r="O193" s="50" t="str">
        <f t="shared" si="11"/>
        <v/>
      </c>
      <c r="P193" s="17"/>
      <c r="Q193" s="50"/>
      <c r="R193" s="50"/>
      <c r="S193" s="17"/>
      <c r="T193" s="21"/>
    </row>
    <row r="194" spans="1:20" x14ac:dyDescent="0.45">
      <c r="A194" s="30" t="str">
        <f t="shared" ref="A194:A225" si="12">IF(B194="","","HS-"&amp;TEXT(ROW()-4,"000"))</f>
        <v/>
      </c>
      <c r="B194" s="41"/>
      <c r="C194" s="38"/>
      <c r="D194" s="38"/>
      <c r="E194" s="38"/>
      <c r="F194" s="38"/>
      <c r="G194" s="38"/>
      <c r="H194" s="48"/>
      <c r="I194" s="48"/>
      <c r="J194" s="49"/>
      <c r="K194" s="17"/>
      <c r="L194" s="17"/>
      <c r="M194" s="48"/>
      <c r="N194" s="48"/>
      <c r="O194" s="50" t="str">
        <f t="shared" ref="O194:O201" si="13">IF(B194="","",B194+IF(M194="Khẩn cấp",1,IF(M194="Cao",2,5)))</f>
        <v/>
      </c>
      <c r="P194" s="17"/>
      <c r="Q194" s="50"/>
      <c r="R194" s="50"/>
      <c r="S194" s="17"/>
      <c r="T194" s="21"/>
    </row>
    <row r="195" spans="1:20" x14ac:dyDescent="0.45">
      <c r="A195" s="30" t="str">
        <f t="shared" si="12"/>
        <v/>
      </c>
      <c r="B195" s="41"/>
      <c r="C195" s="38"/>
      <c r="D195" s="38"/>
      <c r="E195" s="38"/>
      <c r="F195" s="38"/>
      <c r="G195" s="38"/>
      <c r="H195" s="48"/>
      <c r="I195" s="48"/>
      <c r="J195" s="49"/>
      <c r="K195" s="17"/>
      <c r="L195" s="17"/>
      <c r="M195" s="48"/>
      <c r="N195" s="48"/>
      <c r="O195" s="50" t="str">
        <f t="shared" si="13"/>
        <v/>
      </c>
      <c r="P195" s="17"/>
      <c r="Q195" s="50"/>
      <c r="R195" s="50"/>
      <c r="S195" s="17"/>
      <c r="T195" s="21"/>
    </row>
    <row r="196" spans="1:20" x14ac:dyDescent="0.45">
      <c r="A196" s="30" t="str">
        <f t="shared" si="12"/>
        <v/>
      </c>
      <c r="B196" s="41"/>
      <c r="C196" s="38"/>
      <c r="D196" s="38"/>
      <c r="E196" s="38"/>
      <c r="F196" s="38"/>
      <c r="G196" s="38"/>
      <c r="H196" s="48"/>
      <c r="I196" s="48"/>
      <c r="J196" s="49"/>
      <c r="K196" s="17"/>
      <c r="L196" s="17"/>
      <c r="M196" s="48"/>
      <c r="N196" s="48"/>
      <c r="O196" s="50" t="str">
        <f t="shared" si="13"/>
        <v/>
      </c>
      <c r="P196" s="17"/>
      <c r="Q196" s="50"/>
      <c r="R196" s="50"/>
      <c r="S196" s="17"/>
      <c r="T196" s="21"/>
    </row>
    <row r="197" spans="1:20" x14ac:dyDescent="0.45">
      <c r="A197" s="30" t="str">
        <f t="shared" si="12"/>
        <v/>
      </c>
      <c r="B197" s="41"/>
      <c r="C197" s="38"/>
      <c r="D197" s="38"/>
      <c r="E197" s="38"/>
      <c r="F197" s="38"/>
      <c r="G197" s="38"/>
      <c r="H197" s="48"/>
      <c r="I197" s="48"/>
      <c r="J197" s="49"/>
      <c r="K197" s="17"/>
      <c r="L197" s="17"/>
      <c r="M197" s="48"/>
      <c r="N197" s="48"/>
      <c r="O197" s="50" t="str">
        <f t="shared" si="13"/>
        <v/>
      </c>
      <c r="P197" s="17"/>
      <c r="Q197" s="50"/>
      <c r="R197" s="50"/>
      <c r="S197" s="17"/>
      <c r="T197" s="21"/>
    </row>
    <row r="198" spans="1:20" x14ac:dyDescent="0.45">
      <c r="A198" s="30" t="str">
        <f t="shared" si="12"/>
        <v/>
      </c>
      <c r="B198" s="41"/>
      <c r="C198" s="38"/>
      <c r="D198" s="38"/>
      <c r="E198" s="38"/>
      <c r="F198" s="38"/>
      <c r="G198" s="38"/>
      <c r="H198" s="48"/>
      <c r="I198" s="48"/>
      <c r="J198" s="49"/>
      <c r="K198" s="17"/>
      <c r="L198" s="17"/>
      <c r="M198" s="48"/>
      <c r="N198" s="48"/>
      <c r="O198" s="50" t="str">
        <f t="shared" si="13"/>
        <v/>
      </c>
      <c r="P198" s="17"/>
      <c r="Q198" s="50"/>
      <c r="R198" s="50"/>
      <c r="S198" s="17"/>
      <c r="T198" s="21"/>
    </row>
    <row r="199" spans="1:20" x14ac:dyDescent="0.45">
      <c r="A199" s="30" t="str">
        <f t="shared" si="12"/>
        <v/>
      </c>
      <c r="B199" s="41"/>
      <c r="C199" s="38"/>
      <c r="D199" s="38"/>
      <c r="E199" s="38"/>
      <c r="F199" s="38"/>
      <c r="G199" s="38"/>
      <c r="H199" s="48"/>
      <c r="I199" s="48"/>
      <c r="J199" s="49"/>
      <c r="K199" s="17"/>
      <c r="L199" s="17"/>
      <c r="M199" s="48"/>
      <c r="N199" s="48"/>
      <c r="O199" s="50" t="str">
        <f t="shared" si="13"/>
        <v/>
      </c>
      <c r="P199" s="17"/>
      <c r="Q199" s="50"/>
      <c r="R199" s="50"/>
      <c r="S199" s="17"/>
      <c r="T199" s="21"/>
    </row>
    <row r="200" spans="1:20" x14ac:dyDescent="0.45">
      <c r="A200" s="30" t="str">
        <f t="shared" si="12"/>
        <v/>
      </c>
      <c r="B200" s="41"/>
      <c r="C200" s="38"/>
      <c r="D200" s="38"/>
      <c r="E200" s="38"/>
      <c r="F200" s="38"/>
      <c r="G200" s="38"/>
      <c r="H200" s="48"/>
      <c r="I200" s="48"/>
      <c r="J200" s="49"/>
      <c r="K200" s="17"/>
      <c r="L200" s="17"/>
      <c r="M200" s="48"/>
      <c r="N200" s="48"/>
      <c r="O200" s="50" t="str">
        <f t="shared" si="13"/>
        <v/>
      </c>
      <c r="P200" s="17"/>
      <c r="Q200" s="50"/>
      <c r="R200" s="50"/>
      <c r="S200" s="17"/>
      <c r="T200" s="21"/>
    </row>
    <row r="201" spans="1:20" x14ac:dyDescent="0.45">
      <c r="A201" s="32" t="str">
        <f t="shared" si="12"/>
        <v/>
      </c>
      <c r="B201" s="42"/>
      <c r="C201" s="39"/>
      <c r="D201" s="39"/>
      <c r="E201" s="39"/>
      <c r="F201" s="39"/>
      <c r="G201" s="39"/>
      <c r="H201" s="51"/>
      <c r="I201" s="51"/>
      <c r="J201" s="52"/>
      <c r="K201" s="25"/>
      <c r="L201" s="25"/>
      <c r="M201" s="51"/>
      <c r="N201" s="51"/>
      <c r="O201" s="53" t="str">
        <f t="shared" si="13"/>
        <v/>
      </c>
      <c r="P201" s="25"/>
      <c r="Q201" s="53"/>
      <c r="R201" s="53"/>
      <c r="S201" s="25"/>
      <c r="T201" s="23"/>
    </row>
  </sheetData>
  <conditionalFormatting sqref="P2:P201">
    <cfRule type="expression" dxfId="2" priority="1">
      <formula>P2="Chờ bổ sung hồ sơ"</formula>
    </cfRule>
    <cfRule type="expression" dxfId="1" priority="2">
      <formula>P2="Đã hoàn thành"</formula>
    </cfRule>
    <cfRule type="expression" dxfId="0" priority="3">
      <formula>AND(P2&lt;&gt;"Đã hoàn thành",O2&lt;TODAY(),B2&lt;&gt;"")</formula>
    </cfRule>
  </conditionalFormatting>
  <dataValidations count="3">
    <dataValidation type="list" sqref="I2:I201" xr:uid="{00000000-0002-0000-0300-000000000000}">
      <formula1>"Ốm đau/đi viện,Hiếu/viếng,Hỷ/Sinh con,Tai nạn/rủi ro,Sinh nhật,Quà đoàn viên nghỉ việc,Khác"</formula1>
    </dataValidation>
    <dataValidation type="list" sqref="M2:M201" xr:uid="{00000000-0002-0000-0300-000001000000}">
      <formula1>"Khẩn cấp,Cao,Bình thường"</formula1>
    </dataValidation>
    <dataValidation type="list" sqref="P2:P201" xr:uid="{00000000-0002-0000-0300-000002000000}">
      <formula1>"Mới tiếp nhận,Đang kiểm tra,Chờ bổ sung hồ sơ,Đã trình duyệt,Đã duyệt,Đã chi,Đã hoàn thành,Không đủ điều kiện"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
  <sheetViews>
    <sheetView workbookViewId="0">
      <selection activeCell="A5" sqref="A5"/>
    </sheetView>
  </sheetViews>
  <sheetFormatPr defaultRowHeight="14.25" x14ac:dyDescent="0.45"/>
  <cols>
    <col min="1" max="1" width="15" customWidth="1"/>
    <col min="2" max="2" width="24" customWidth="1"/>
    <col min="3" max="3" width="28" customWidth="1"/>
    <col min="4" max="4" width="19" customWidth="1"/>
    <col min="5" max="5" width="40" customWidth="1"/>
    <col min="6" max="6" width="22" customWidth="1"/>
    <col min="7" max="7" width="30" customWidth="1"/>
  </cols>
  <sheetData>
    <row r="1" spans="1:7" x14ac:dyDescent="0.45">
      <c r="A1" s="64" t="s">
        <v>248</v>
      </c>
      <c r="B1" s="64"/>
      <c r="C1" s="64"/>
      <c r="D1" s="64"/>
      <c r="E1" s="64"/>
      <c r="F1" s="64"/>
      <c r="G1" s="64"/>
    </row>
    <row r="2" spans="1:7" x14ac:dyDescent="0.45">
      <c r="A2" s="64"/>
      <c r="B2" s="64"/>
      <c r="C2" s="64"/>
      <c r="D2" s="64"/>
      <c r="E2" s="64"/>
      <c r="F2" s="64"/>
      <c r="G2" s="64"/>
    </row>
    <row r="4" spans="1:7" ht="28.5" x14ac:dyDescent="0.45">
      <c r="A4" s="18" t="s">
        <v>249</v>
      </c>
      <c r="B4" s="24" t="s">
        <v>136</v>
      </c>
      <c r="C4" s="24" t="s">
        <v>250</v>
      </c>
      <c r="D4" s="24" t="s">
        <v>251</v>
      </c>
      <c r="E4" s="24" t="s">
        <v>252</v>
      </c>
      <c r="F4" s="24" t="s">
        <v>253</v>
      </c>
      <c r="G4" s="19" t="s">
        <v>254</v>
      </c>
    </row>
    <row r="5" spans="1:7" x14ac:dyDescent="0.45">
      <c r="A5" s="20" t="s">
        <v>255</v>
      </c>
      <c r="B5" s="17" t="s">
        <v>164</v>
      </c>
      <c r="C5" s="17" t="s">
        <v>256</v>
      </c>
      <c r="D5" s="26">
        <v>300000</v>
      </c>
      <c r="E5" s="17" t="s">
        <v>257</v>
      </c>
      <c r="F5" s="17" t="s">
        <v>258</v>
      </c>
      <c r="G5" s="21" t="s">
        <v>259</v>
      </c>
    </row>
    <row r="6" spans="1:7" x14ac:dyDescent="0.45">
      <c r="A6" s="20" t="s">
        <v>260</v>
      </c>
      <c r="B6" s="17" t="s">
        <v>149</v>
      </c>
      <c r="C6" s="17" t="s">
        <v>261</v>
      </c>
      <c r="D6" s="26">
        <v>1000000</v>
      </c>
      <c r="E6" s="17" t="s">
        <v>262</v>
      </c>
      <c r="F6" s="17" t="s">
        <v>263</v>
      </c>
      <c r="G6" s="21" t="s">
        <v>264</v>
      </c>
    </row>
    <row r="7" spans="1:7" x14ac:dyDescent="0.45">
      <c r="A7" s="20" t="s">
        <v>265</v>
      </c>
      <c r="B7" s="17" t="s">
        <v>154</v>
      </c>
      <c r="C7" s="17" t="s">
        <v>266</v>
      </c>
      <c r="D7" s="26">
        <v>300000</v>
      </c>
      <c r="E7" s="17" t="s">
        <v>267</v>
      </c>
      <c r="F7" s="17" t="s">
        <v>268</v>
      </c>
      <c r="G7" s="21" t="s">
        <v>269</v>
      </c>
    </row>
    <row r="8" spans="1:7" x14ac:dyDescent="0.45">
      <c r="A8" s="20" t="s">
        <v>270</v>
      </c>
      <c r="B8" s="17" t="s">
        <v>206</v>
      </c>
      <c r="C8" s="17" t="s">
        <v>271</v>
      </c>
      <c r="D8" s="26">
        <v>2000000</v>
      </c>
      <c r="E8" s="17" t="s">
        <v>272</v>
      </c>
      <c r="F8" s="17" t="s">
        <v>263</v>
      </c>
      <c r="G8" s="21" t="s">
        <v>273</v>
      </c>
    </row>
    <row r="9" spans="1:7" x14ac:dyDescent="0.45">
      <c r="A9" s="20" t="s">
        <v>274</v>
      </c>
      <c r="B9" s="17" t="s">
        <v>157</v>
      </c>
      <c r="C9" s="17" t="s">
        <v>275</v>
      </c>
      <c r="D9" s="26">
        <v>100000</v>
      </c>
      <c r="E9" s="17" t="s">
        <v>276</v>
      </c>
      <c r="F9" s="17" t="s">
        <v>277</v>
      </c>
      <c r="G9" s="21" t="s">
        <v>278</v>
      </c>
    </row>
    <row r="10" spans="1:7" x14ac:dyDescent="0.45">
      <c r="A10" s="20" t="s">
        <v>279</v>
      </c>
      <c r="B10" s="17" t="s">
        <v>152</v>
      </c>
      <c r="C10" s="17" t="s">
        <v>280</v>
      </c>
      <c r="D10" s="26">
        <v>500000</v>
      </c>
      <c r="E10" s="17" t="s">
        <v>281</v>
      </c>
      <c r="F10" s="17" t="s">
        <v>282</v>
      </c>
      <c r="G10" s="21" t="s">
        <v>283</v>
      </c>
    </row>
    <row r="11" spans="1:7" x14ac:dyDescent="0.45">
      <c r="A11" s="22" t="s">
        <v>284</v>
      </c>
      <c r="B11" s="25" t="s">
        <v>285</v>
      </c>
      <c r="C11" s="25" t="s">
        <v>286</v>
      </c>
      <c r="D11" s="27">
        <v>0</v>
      </c>
      <c r="E11" s="25" t="s">
        <v>287</v>
      </c>
      <c r="F11" s="25" t="s">
        <v>282</v>
      </c>
      <c r="G11" s="23" t="s">
        <v>288</v>
      </c>
    </row>
    <row r="12" spans="1:7" x14ac:dyDescent="0.45">
      <c r="D12" s="28"/>
    </row>
    <row r="13" spans="1:7" x14ac:dyDescent="0.45">
      <c r="D13" s="28"/>
    </row>
    <row r="14" spans="1:7" x14ac:dyDescent="0.45">
      <c r="D14" s="28"/>
    </row>
    <row r="15" spans="1:7" x14ac:dyDescent="0.45">
      <c r="D15" s="28"/>
    </row>
    <row r="16" spans="1:7" x14ac:dyDescent="0.45">
      <c r="D16" s="28"/>
    </row>
    <row r="17" spans="4:4" x14ac:dyDescent="0.45">
      <c r="D17" s="28"/>
    </row>
    <row r="18" spans="4:4" x14ac:dyDescent="0.45">
      <c r="D18" s="28"/>
    </row>
    <row r="19" spans="4:4" x14ac:dyDescent="0.45">
      <c r="D19" s="28"/>
    </row>
    <row r="20" spans="4:4" x14ac:dyDescent="0.45">
      <c r="D20" s="28"/>
    </row>
  </sheetData>
  <mergeCells count="1">
    <mergeCell ref="A1: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topLeftCell="A7" workbookViewId="0">
      <selection sqref="A1:L2"/>
    </sheetView>
  </sheetViews>
  <sheetFormatPr defaultRowHeight="14.25" x14ac:dyDescent="0.45"/>
  <cols>
    <col min="1" max="1" width="20" customWidth="1"/>
    <col min="2" max="2" width="14" customWidth="1"/>
    <col min="3" max="3" width="18" customWidth="1"/>
    <col min="4" max="4" width="3" customWidth="1"/>
    <col min="5" max="5" width="18" customWidth="1"/>
    <col min="6" max="6" width="14" customWidth="1"/>
    <col min="7" max="7" width="18" customWidth="1"/>
    <col min="8" max="8" width="3" customWidth="1"/>
    <col min="9" max="12" width="18" customWidth="1"/>
  </cols>
  <sheetData>
    <row r="1" spans="1:12" x14ac:dyDescent="0.45">
      <c r="A1" s="64" t="s">
        <v>289</v>
      </c>
      <c r="B1" s="64"/>
      <c r="C1" s="64"/>
      <c r="D1" s="64"/>
      <c r="E1" s="64"/>
      <c r="F1" s="64"/>
      <c r="G1" s="64"/>
      <c r="H1" s="64"/>
      <c r="I1" s="64"/>
      <c r="J1" s="64"/>
      <c r="K1" s="64"/>
      <c r="L1" s="64"/>
    </row>
    <row r="2" spans="1:12" x14ac:dyDescent="0.45">
      <c r="A2" s="64"/>
      <c r="B2" s="64"/>
      <c r="C2" s="64"/>
      <c r="D2" s="64"/>
      <c r="E2" s="64"/>
      <c r="F2" s="64"/>
      <c r="G2" s="64"/>
      <c r="H2" s="64"/>
      <c r="I2" s="64"/>
      <c r="J2" s="64"/>
      <c r="K2" s="64"/>
      <c r="L2" s="64"/>
    </row>
    <row r="4" spans="1:12" x14ac:dyDescent="0.45">
      <c r="A4" s="65" t="s">
        <v>290</v>
      </c>
      <c r="B4" s="65"/>
      <c r="C4" s="65"/>
      <c r="D4" s="65" t="s">
        <v>291</v>
      </c>
      <c r="E4" s="65"/>
      <c r="F4" s="65"/>
      <c r="G4" s="65" t="s">
        <v>292</v>
      </c>
      <c r="H4" s="65"/>
      <c r="I4" s="65"/>
      <c r="J4" s="65" t="s">
        <v>293</v>
      </c>
      <c r="K4" s="65"/>
      <c r="L4" s="65"/>
    </row>
    <row r="5" spans="1:12" x14ac:dyDescent="0.45">
      <c r="A5" s="66">
        <f>COUNTA(DL_CHAM_LO!A2:A49)</f>
        <v>48</v>
      </c>
      <c r="B5" s="66"/>
      <c r="C5" s="66"/>
      <c r="D5" s="67">
        <f>SUM(DL_CHAM_LO!G2:G49)</f>
        <v>67300000</v>
      </c>
      <c r="E5" s="67"/>
      <c r="F5" s="67"/>
      <c r="G5" s="66">
        <f ca="1">COUNTA(_xludf.UNIQUE(DL_CHAM_LO!M2:M49))</f>
        <v>1</v>
      </c>
      <c r="H5" s="66"/>
      <c r="I5" s="66"/>
      <c r="J5" s="67">
        <f>IFERROR(AVERAGE(DL_CHAM_LO!G2:G49),0)</f>
        <v>1402083.3333333333</v>
      </c>
      <c r="K5" s="67"/>
      <c r="L5" s="67"/>
    </row>
    <row r="6" spans="1:12" x14ac:dyDescent="0.45">
      <c r="A6" s="66"/>
      <c r="B6" s="66"/>
      <c r="C6" s="66"/>
      <c r="D6" s="67"/>
      <c r="E6" s="67"/>
      <c r="F6" s="67"/>
      <c r="G6" s="66"/>
      <c r="H6" s="66"/>
      <c r="I6" s="66"/>
      <c r="J6" s="67"/>
      <c r="K6" s="67"/>
      <c r="L6" s="67"/>
    </row>
    <row r="7" spans="1:12" x14ac:dyDescent="0.45">
      <c r="A7" s="66"/>
      <c r="B7" s="66"/>
      <c r="C7" s="66"/>
      <c r="D7" s="67"/>
      <c r="E7" s="67"/>
      <c r="F7" s="67"/>
      <c r="G7" s="66"/>
      <c r="H7" s="66"/>
      <c r="I7" s="66"/>
      <c r="J7" s="67"/>
      <c r="K7" s="67"/>
      <c r="L7" s="67"/>
    </row>
    <row r="10" spans="1:12" x14ac:dyDescent="0.45">
      <c r="A10" s="18" t="s">
        <v>136</v>
      </c>
      <c r="B10" s="24" t="s">
        <v>294</v>
      </c>
      <c r="C10" s="19" t="s">
        <v>137</v>
      </c>
      <c r="E10" s="18" t="s">
        <v>142</v>
      </c>
      <c r="F10" s="24" t="s">
        <v>294</v>
      </c>
      <c r="G10" s="19" t="s">
        <v>137</v>
      </c>
    </row>
    <row r="11" spans="1:12" x14ac:dyDescent="0.45">
      <c r="A11" s="30" t="s">
        <v>164</v>
      </c>
      <c r="B11">
        <f>COUNTIF(DL_CHAM_LO!F2:F49,A11)</f>
        <v>24</v>
      </c>
      <c r="C11" s="54">
        <f>SUMIF(DL_CHAM_LO!F2:F49,A11,DL_CHAM_LO!G2:G49)</f>
        <v>9600000</v>
      </c>
      <c r="E11" s="30" t="s">
        <v>21</v>
      </c>
      <c r="F11">
        <f>COUNTIF(DL_CHAM_LO!M2:M49,E11)</f>
        <v>8</v>
      </c>
      <c r="G11" s="54">
        <f>SUMIF(DL_CHAM_LO!M2:M49,E11,DL_CHAM_LO!G2:G49)</f>
        <v>4400000</v>
      </c>
    </row>
    <row r="12" spans="1:12" x14ac:dyDescent="0.45">
      <c r="A12" s="30" t="s">
        <v>149</v>
      </c>
      <c r="B12">
        <f>COUNTIF(DL_CHAM_LO!F2:F49,A12)</f>
        <v>8</v>
      </c>
      <c r="C12" s="54">
        <f>SUMIF(DL_CHAM_LO!F2:F49,A12,DL_CHAM_LO!G2:G49)</f>
        <v>7300000</v>
      </c>
      <c r="E12" s="30" t="s">
        <v>36</v>
      </c>
      <c r="F12">
        <f>COUNTIF(DL_CHAM_LO!M2:M49,E12)</f>
        <v>15</v>
      </c>
      <c r="G12" s="54">
        <f>SUMIF(DL_CHAM_LO!M2:M49,E12,DL_CHAM_LO!G2:G49)</f>
        <v>6300000</v>
      </c>
    </row>
    <row r="13" spans="1:12" x14ac:dyDescent="0.45">
      <c r="A13" s="30" t="s">
        <v>154</v>
      </c>
      <c r="B13">
        <f>COUNTIF(DL_CHAM_LO!F2:F49,A13)</f>
        <v>6</v>
      </c>
      <c r="C13" s="54">
        <f>SUMIF(DL_CHAM_LO!F2:F49,A13,DL_CHAM_LO!G2:G49)</f>
        <v>1800000</v>
      </c>
      <c r="E13" s="30" t="s">
        <v>25</v>
      </c>
      <c r="F13">
        <f>COUNTIF(DL_CHAM_LO!M2:M49,E13)</f>
        <v>12</v>
      </c>
      <c r="G13" s="54">
        <f>SUMIF(DL_CHAM_LO!M2:M49,E13,DL_CHAM_LO!G2:G49)</f>
        <v>5700000</v>
      </c>
    </row>
    <row r="14" spans="1:12" x14ac:dyDescent="0.45">
      <c r="A14" s="30" t="s">
        <v>206</v>
      </c>
      <c r="B14">
        <f>COUNTIF(DL_CHAM_LO!F2:F49,A14)</f>
        <v>3</v>
      </c>
      <c r="C14" s="54">
        <f>SUMIF(DL_CHAM_LO!F2:F49,A14,DL_CHAM_LO!G2:G49)</f>
        <v>9300000</v>
      </c>
      <c r="E14" s="32" t="s">
        <v>295</v>
      </c>
      <c r="F14" s="34">
        <f>COUNTBLANK(DL_CHAM_LO!M2:M49)</f>
        <v>13</v>
      </c>
      <c r="G14" s="55">
        <f>SUMIF(DL_CHAM_LO!M2:M49,"",DL_CHAM_LO!G2:G49)</f>
        <v>50900000</v>
      </c>
    </row>
    <row r="15" spans="1:12" x14ac:dyDescent="0.45">
      <c r="A15" s="30" t="s">
        <v>157</v>
      </c>
      <c r="B15">
        <f>COUNTIF(DL_CHAM_LO!F2:F49,A15)</f>
        <v>6</v>
      </c>
      <c r="C15" s="54">
        <f>SUMIF(DL_CHAM_LO!F2:F49,A15,DL_CHAM_LO!G2:G49)</f>
        <v>36800000</v>
      </c>
    </row>
    <row r="16" spans="1:12" x14ac:dyDescent="0.45">
      <c r="A16" s="30" t="s">
        <v>152</v>
      </c>
      <c r="B16">
        <f>COUNTIF(DL_CHAM_LO!F2:F49,A16)</f>
        <v>1</v>
      </c>
      <c r="C16" s="54">
        <f>SUMIF(DL_CHAM_LO!F2:F49,A16,DL_CHAM_LO!G2:G49)</f>
        <v>2500000</v>
      </c>
    </row>
    <row r="17" spans="1:3" x14ac:dyDescent="0.45">
      <c r="A17" s="32" t="s">
        <v>285</v>
      </c>
      <c r="B17" s="34">
        <f>COUNTIF(DL_CHAM_LO!F2:F49,A17)</f>
        <v>0</v>
      </c>
      <c r="C17" s="55">
        <f>SUMIF(DL_CHAM_LO!F2:F49,A17,DL_CHAM_LO!G2:G49)</f>
        <v>0</v>
      </c>
    </row>
    <row r="21" spans="1:3" x14ac:dyDescent="0.45">
      <c r="A21" s="18" t="s">
        <v>135</v>
      </c>
      <c r="B21" s="24" t="s">
        <v>294</v>
      </c>
      <c r="C21" s="19" t="s">
        <v>137</v>
      </c>
    </row>
    <row r="22" spans="1:3" x14ac:dyDescent="0.45">
      <c r="A22" s="30">
        <v>1</v>
      </c>
      <c r="B22">
        <f>COUNTIFS(DL_CHAM_LO!C2:C49,2026,DL_CHAM_LO!D2:D49,A22)</f>
        <v>1</v>
      </c>
      <c r="C22" s="54">
        <f>SUMIFS(DL_CHAM_LO!G2:G49,DL_CHAM_LO!C2:C49,2026,DL_CHAM_LO!D2:D49,A22)</f>
        <v>800000</v>
      </c>
    </row>
    <row r="23" spans="1:3" x14ac:dyDescent="0.45">
      <c r="A23" s="30">
        <v>2</v>
      </c>
      <c r="B23">
        <f>COUNTIFS(DL_CHAM_LO!C2:C49,2026,DL_CHAM_LO!D2:D49,A23)</f>
        <v>8</v>
      </c>
      <c r="C23" s="54">
        <f>SUMIFS(DL_CHAM_LO!G2:G49,DL_CHAM_LO!C2:C49,2026,DL_CHAM_LO!D2:D49,A23)</f>
        <v>29000000</v>
      </c>
    </row>
    <row r="24" spans="1:3" x14ac:dyDescent="0.45">
      <c r="A24" s="30">
        <v>3</v>
      </c>
      <c r="B24">
        <f>COUNTIFS(DL_CHAM_LO!C2:C49,2026,DL_CHAM_LO!D2:D49,A24)</f>
        <v>14</v>
      </c>
      <c r="C24" s="54">
        <f>SUMIFS(DL_CHAM_LO!G2:G49,DL_CHAM_LO!C2:C49,2026,DL_CHAM_LO!D2:D49,A24)</f>
        <v>7900000</v>
      </c>
    </row>
    <row r="25" spans="1:3" x14ac:dyDescent="0.45">
      <c r="A25" s="30">
        <v>4</v>
      </c>
      <c r="B25">
        <f>COUNTIFS(DL_CHAM_LO!C2:C49,2026,DL_CHAM_LO!D2:D49,A25)</f>
        <v>7</v>
      </c>
      <c r="C25" s="54">
        <f>SUMIFS(DL_CHAM_LO!G2:G49,DL_CHAM_LO!C2:C49,2026,DL_CHAM_LO!D2:D49,A25)</f>
        <v>9800000</v>
      </c>
    </row>
    <row r="26" spans="1:3" x14ac:dyDescent="0.45">
      <c r="A26" s="30">
        <v>5</v>
      </c>
      <c r="B26">
        <f>COUNTIFS(DL_CHAM_LO!C2:C49,2026,DL_CHAM_LO!D2:D49,A26)</f>
        <v>6</v>
      </c>
      <c r="C26" s="54">
        <f>SUMIFS(DL_CHAM_LO!G2:G49,DL_CHAM_LO!C2:C49,2026,DL_CHAM_LO!D2:D49,A26)</f>
        <v>9900000</v>
      </c>
    </row>
    <row r="27" spans="1:3" x14ac:dyDescent="0.45">
      <c r="A27" s="30">
        <v>6</v>
      </c>
      <c r="B27">
        <f>COUNTIFS(DL_CHAM_LO!C2:C49,2026,DL_CHAM_LO!D2:D49,A27)</f>
        <v>6</v>
      </c>
      <c r="C27" s="54">
        <f>SUMIFS(DL_CHAM_LO!G2:G49,DL_CHAM_LO!C2:C49,2026,DL_CHAM_LO!D2:D49,A27)</f>
        <v>6000000</v>
      </c>
    </row>
    <row r="28" spans="1:3" x14ac:dyDescent="0.45">
      <c r="A28" s="30">
        <v>7</v>
      </c>
      <c r="B28">
        <f>COUNTIFS(DL_CHAM_LO!C2:C49,2026,DL_CHAM_LO!D2:D49,A28)</f>
        <v>6</v>
      </c>
      <c r="C28" s="54">
        <f>SUMIFS(DL_CHAM_LO!G2:G49,DL_CHAM_LO!C2:C49,2026,DL_CHAM_LO!D2:D49,A28)</f>
        <v>3900000</v>
      </c>
    </row>
    <row r="29" spans="1:3" x14ac:dyDescent="0.45">
      <c r="A29" s="30">
        <v>8</v>
      </c>
      <c r="B29">
        <f>COUNTIFS(DL_CHAM_LO!C2:C49,2026,DL_CHAM_LO!D2:D49,A29)</f>
        <v>0</v>
      </c>
      <c r="C29" s="54">
        <f>SUMIFS(DL_CHAM_LO!G2:G49,DL_CHAM_LO!C2:C49,2026,DL_CHAM_LO!D2:D49,A29)</f>
        <v>0</v>
      </c>
    </row>
    <row r="30" spans="1:3" x14ac:dyDescent="0.45">
      <c r="A30" s="30">
        <v>9</v>
      </c>
      <c r="B30">
        <f>COUNTIFS(DL_CHAM_LO!C2:C49,2026,DL_CHAM_LO!D2:D49,A30)</f>
        <v>0</v>
      </c>
      <c r="C30" s="54">
        <f>SUMIFS(DL_CHAM_LO!G2:G49,DL_CHAM_LO!C2:C49,2026,DL_CHAM_LO!D2:D49,A30)</f>
        <v>0</v>
      </c>
    </row>
    <row r="31" spans="1:3" x14ac:dyDescent="0.45">
      <c r="A31" s="30">
        <v>10</v>
      </c>
      <c r="B31">
        <f>COUNTIFS(DL_CHAM_LO!C2:C49,2026,DL_CHAM_LO!D2:D49,A31)</f>
        <v>0</v>
      </c>
      <c r="C31" s="54">
        <f>SUMIFS(DL_CHAM_LO!G2:G49,DL_CHAM_LO!C2:C49,2026,DL_CHAM_LO!D2:D49,A31)</f>
        <v>0</v>
      </c>
    </row>
    <row r="32" spans="1:3" x14ac:dyDescent="0.45">
      <c r="A32" s="30">
        <v>11</v>
      </c>
      <c r="B32">
        <f>COUNTIFS(DL_CHAM_LO!C2:C49,2026,DL_CHAM_LO!D2:D49,A32)</f>
        <v>0</v>
      </c>
      <c r="C32" s="54">
        <f>SUMIFS(DL_CHAM_LO!G2:G49,DL_CHAM_LO!C2:C49,2026,DL_CHAM_LO!D2:D49,A32)</f>
        <v>0</v>
      </c>
    </row>
    <row r="33" spans="1:3" x14ac:dyDescent="0.45">
      <c r="A33" s="32">
        <v>12</v>
      </c>
      <c r="B33" s="34">
        <f>COUNTIFS(DL_CHAM_LO!C2:C49,2026,DL_CHAM_LO!D2:D49,A33)</f>
        <v>0</v>
      </c>
      <c r="C33" s="55">
        <f>SUMIFS(DL_CHAM_LO!G2:G49,DL_CHAM_LO!C2:C49,2026,DL_CHAM_LO!D2:D49,A33)</f>
        <v>0</v>
      </c>
    </row>
  </sheetData>
  <mergeCells count="9">
    <mergeCell ref="A1:L2"/>
    <mergeCell ref="A4:C4"/>
    <mergeCell ref="A5:C7"/>
    <mergeCell ref="D4:F4"/>
    <mergeCell ref="D5:F7"/>
    <mergeCell ref="G4:I4"/>
    <mergeCell ref="G5:I7"/>
    <mergeCell ref="J4:L4"/>
    <mergeCell ref="J5:L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4"/>
  <sheetViews>
    <sheetView workbookViewId="0">
      <selection activeCell="A3" sqref="A3"/>
    </sheetView>
  </sheetViews>
  <sheetFormatPr defaultRowHeight="14.25" x14ac:dyDescent="0.45"/>
  <cols>
    <col min="1" max="1" width="24" customWidth="1"/>
    <col min="2" max="2" width="36" customWidth="1"/>
    <col min="3" max="3" width="90" customWidth="1"/>
    <col min="4" max="4" width="38" customWidth="1"/>
  </cols>
  <sheetData>
    <row r="1" spans="1:8" x14ac:dyDescent="0.45">
      <c r="A1" s="64" t="s">
        <v>326</v>
      </c>
      <c r="B1" s="64"/>
      <c r="C1" s="64"/>
      <c r="D1" s="64"/>
      <c r="E1" s="64"/>
      <c r="F1" s="64"/>
      <c r="G1" s="64"/>
      <c r="H1" s="64"/>
    </row>
    <row r="2" spans="1:8" x14ac:dyDescent="0.45">
      <c r="A2" s="64"/>
      <c r="B2" s="64"/>
      <c r="C2" s="64"/>
      <c r="D2" s="64"/>
      <c r="E2" s="64"/>
      <c r="F2" s="64"/>
      <c r="G2" s="64"/>
      <c r="H2" s="64"/>
    </row>
    <row r="4" spans="1:8" x14ac:dyDescent="0.45">
      <c r="A4" s="18" t="s">
        <v>296</v>
      </c>
      <c r="B4" s="24" t="s">
        <v>297</v>
      </c>
      <c r="C4" s="24" t="s">
        <v>298</v>
      </c>
      <c r="D4" s="19" t="s">
        <v>299</v>
      </c>
    </row>
    <row r="5" spans="1:8" ht="28.5" x14ac:dyDescent="0.45">
      <c r="A5" s="20" t="s">
        <v>300</v>
      </c>
      <c r="B5" s="17" t="s">
        <v>301</v>
      </c>
      <c r="C5" s="17" t="s">
        <v>302</v>
      </c>
      <c r="D5" s="21" t="s">
        <v>303</v>
      </c>
    </row>
    <row r="6" spans="1:8" ht="28.5" x14ac:dyDescent="0.45">
      <c r="A6" s="20" t="s">
        <v>304</v>
      </c>
      <c r="B6" s="17" t="s">
        <v>305</v>
      </c>
      <c r="C6" s="17" t="s">
        <v>306</v>
      </c>
      <c r="D6" s="21" t="s">
        <v>307</v>
      </c>
    </row>
    <row r="7" spans="1:8" ht="28.5" x14ac:dyDescent="0.45">
      <c r="A7" s="20" t="s">
        <v>308</v>
      </c>
      <c r="B7" s="17" t="s">
        <v>309</v>
      </c>
      <c r="C7" s="17" t="s">
        <v>310</v>
      </c>
      <c r="D7" s="21" t="s">
        <v>311</v>
      </c>
    </row>
    <row r="8" spans="1:8" ht="28.5" x14ac:dyDescent="0.45">
      <c r="A8" s="20" t="s">
        <v>312</v>
      </c>
      <c r="B8" s="17" t="s">
        <v>313</v>
      </c>
      <c r="C8" s="17" t="s">
        <v>314</v>
      </c>
      <c r="D8" s="21" t="s">
        <v>315</v>
      </c>
    </row>
    <row r="9" spans="1:8" ht="42.75" x14ac:dyDescent="0.45">
      <c r="A9" s="20" t="s">
        <v>316</v>
      </c>
      <c r="B9" s="17" t="s">
        <v>317</v>
      </c>
      <c r="C9" s="17" t="s">
        <v>318</v>
      </c>
      <c r="D9" s="21" t="s">
        <v>319</v>
      </c>
    </row>
    <row r="10" spans="1:8" ht="28.5" x14ac:dyDescent="0.45">
      <c r="A10" s="22" t="s">
        <v>320</v>
      </c>
      <c r="B10" s="25" t="s">
        <v>321</v>
      </c>
      <c r="C10" s="25" t="s">
        <v>322</v>
      </c>
      <c r="D10" s="23" t="s">
        <v>323</v>
      </c>
    </row>
    <row r="12" spans="1:8" x14ac:dyDescent="0.45">
      <c r="A12" s="68" t="s">
        <v>324</v>
      </c>
      <c r="B12" s="68"/>
      <c r="C12" s="68"/>
      <c r="D12" s="68"/>
    </row>
    <row r="13" spans="1:8" x14ac:dyDescent="0.45">
      <c r="A13" s="68"/>
      <c r="B13" s="68"/>
      <c r="C13" s="68"/>
      <c r="D13" s="68"/>
    </row>
    <row r="14" spans="1:8" x14ac:dyDescent="0.45">
      <c r="A14" s="68"/>
      <c r="B14" s="68"/>
      <c r="C14" s="68"/>
      <c r="D14" s="68"/>
    </row>
  </sheetData>
  <mergeCells count="2">
    <mergeCell ref="A1:H2"/>
    <mergeCell ref="A12:D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TH</vt:lpstr>
      <vt:lpstr>HUONG_DAN</vt:lpstr>
      <vt:lpstr>DL_CHAM_LO</vt:lpstr>
      <vt:lpstr>TIEP_NHAN</vt:lpstr>
      <vt:lpstr>QUY_CHE</vt:lpstr>
      <vt:lpstr>DASHBOARD</vt:lpstr>
      <vt:lpstr>AI_TRO_LY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 Phuong</dc:creator>
  <cp:lastModifiedBy>Vũ Thị Lan Phương</cp:lastModifiedBy>
  <dcterms:created xsi:type="dcterms:W3CDTF">2026-07-25T03:16:10Z</dcterms:created>
  <dcterms:modified xsi:type="dcterms:W3CDTF">2026-07-25T03:16:10Z</dcterms:modified>
</cp:coreProperties>
</file>